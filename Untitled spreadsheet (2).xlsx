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a" sheetId="1" r:id="rId5"/>
    <sheet state="visible" name="section b" sheetId="2" r:id="rId6"/>
  </sheets>
  <definedNames>
    <definedName hidden="1" localSheetId="1" name="_xlnm._FilterDatabase">'section b'!$A$13:$F$21</definedName>
  </definedNames>
  <calcPr/>
</workbook>
</file>

<file path=xl/sharedStrings.xml><?xml version="1.0" encoding="utf-8"?>
<sst xmlns="http://schemas.openxmlformats.org/spreadsheetml/2006/main" count="146" uniqueCount="68">
  <si>
    <t>SECTION A - THEORETICAL QUESTIONS</t>
  </si>
  <si>
    <t>Q1. What are the most common reasons for missing data in ETL pipelines? Common reasons include:</t>
  </si>
  <si>
    <t>System Errors: Failures in data extraction (e.g., API timeouts, database connection drops) or bugs in the transformation logic.</t>
  </si>
  <si>
    <t>User Omission: Users leaving optional fields blank in forms (e.g., not entering a phone number).</t>
  </si>
  <si>
    <t>Data Corruption: Issues during file transfer or storage that result in lost bits or unreadable records.</t>
  </si>
  <si>
    <t>Incompatible Formats: Data type mismatches during the "Load" phase (e.g., trying to fit text into an integer field) causing nulls.</t>
  </si>
  <si>
    <t>Q2. Why is blindly deleting rows with missing values considered a bad practice in ETL? Blind deletion (dropping any row with a NaN) can lead to significant data loss and bias.</t>
  </si>
  <si>
    <t>If the missing data is not random (e.g., high-income earners refusing to share salary),</t>
  </si>
  <si>
    <t xml:space="preserve"> deleting those rows skews the analysis, making the remaining dataset unrepresentative of the real population.</t>
  </si>
  <si>
    <t>It reduces the sample size, potentially lowering the statistical power of any downstream models.</t>
  </si>
  <si>
    <t>Q3. Explain the difference between Listwise deletion and Column deletion.</t>
  </si>
  <si>
    <t>Listwise Deletion (Complete Case Analysis): This involves removing the entire row (record) if any single value in that row is missing.</t>
  </si>
  <si>
    <t>Scenario: Appropriate when the missing data is completely random and constitutes a very small percentage (e.g., &lt;5%) of a large dataset.</t>
  </si>
  <si>
    <t>Column Deletion: This involves removing an entire feature (variable) if it has too many missing values.</t>
  </si>
  <si>
    <t>Scenario: Appropriate when a specific column (e.g., "Middle Name") is missing for the vast majority (e.g., &gt;60-70%) of records and holds little predictive value.</t>
  </si>
  <si>
    <t>Q4. Why is median imputation preferred over mean imputation for skewed data such as income?</t>
  </si>
  <si>
    <t>The mean is highly sensitive to outliers. In skewed distributions like income (where a few billionaires can drag the average up significantly),</t>
  </si>
  <si>
    <t xml:space="preserve"> the mean will not represent the "typical" person. The median (the middle value) is robust against outliers and provides a more accurate representation of the central tendency for skewed data.</t>
  </si>
  <si>
    <t>Q5. What is forward fill and in what type of dataset is it most useful?</t>
  </si>
  <si>
    <t>Forward Fill (ffill) propagates the last valid observation forward to the next missing value.</t>
  </si>
  <si>
    <t>Use Case: It is most useful in Time-Series Data or ordered datasets where the value is likely to remain constant until it changes (e.g., stock prices, sensor readings, or inventory levels).</t>
  </si>
  <si>
    <t xml:space="preserve">Q6. Why should flagging missing values be done before imputation in an ETL workflow? </t>
  </si>
  <si>
    <t>Flagging creates a new binary column (e.g., is_missing) to record that a value was originally absent. This preserves the "missingness" information,</t>
  </si>
  <si>
    <t xml:space="preserve"> allowing algorithms to learn if the mere fact that data is missing is actually predictive (e.g., a missing "credit score" might indicate a lack of credit history, which is a risk factor itself)</t>
  </si>
  <si>
    <t>Q7. How can missing income data provide business insights? The "missingness" itself can be a signal.</t>
  </si>
  <si>
    <t>Privacy Concerns: Customers who leave income blank might be more privacy-conscious or belong to a specific high-net-worth demographic.</t>
  </si>
  <si>
    <t>UX Issues: If a specific group (e.g., mobile users) consistently has missing income, it might indicate a broken form field on the mobile app.</t>
  </si>
  <si>
    <t>original data</t>
  </si>
  <si>
    <t>Monthly_Sales (Filled)</t>
  </si>
  <si>
    <t>Income (Filled)</t>
  </si>
  <si>
    <t>Customer_ID</t>
  </si>
  <si>
    <t>Name</t>
  </si>
  <si>
    <t>City</t>
  </si>
  <si>
    <t>Monthly_Sales</t>
  </si>
  <si>
    <t>Income</t>
  </si>
  <si>
    <t>Region</t>
  </si>
  <si>
    <t>Rahul Mehta</t>
  </si>
  <si>
    <t>Mumbai</t>
  </si>
  <si>
    <t>West</t>
  </si>
  <si>
    <t>Anjali Rao</t>
  </si>
  <si>
    <t>Bengaluru</t>
  </si>
  <si>
    <t>South</t>
  </si>
  <si>
    <t>Suresh Iyer</t>
  </si>
  <si>
    <t>Chennai</t>
  </si>
  <si>
    <t>Neha Singh</t>
  </si>
  <si>
    <t>Delhi</t>
  </si>
  <si>
    <t>North</t>
  </si>
  <si>
    <t>Amit Verma</t>
  </si>
  <si>
    <t>Pune</t>
  </si>
  <si>
    <t>Karan Shah</t>
  </si>
  <si>
    <t>Ahmedabad</t>
  </si>
  <si>
    <t>Pooja Das</t>
  </si>
  <si>
    <t>Kolkata</t>
  </si>
  <si>
    <t>East</t>
  </si>
  <si>
    <t>Riya Kapoor</t>
  </si>
  <si>
    <t>Jaipur</t>
  </si>
  <si>
    <t>work purpose</t>
  </si>
  <si>
    <t>1. Identify affected rows:</t>
  </si>
  <si>
    <t>Looking at the table, Customer_ID 105 (Amit Verma) has Region = NaN</t>
  </si>
  <si>
    <t>3. Records lost:</t>
  </si>
  <si>
    <t>1 record was lost (Customer 105).</t>
  </si>
  <si>
    <t>Q9. Imputation</t>
  </si>
  <si>
    <t>forward fill_ monthly _sales</t>
  </si>
  <si>
    <t xml:space="preserve"> </t>
  </si>
  <si>
    <t>3. While typically used for time series, in this specific list, it preserves the data structure without introducing complex statistical assumptions (like mean/median) which might be heavily skewed by the small sample size.</t>
  </si>
  <si>
    <t>Q10. Flagging Missing Data</t>
  </si>
  <si>
    <t>Income_missing_flag</t>
  </si>
  <si>
    <t>3. Count of customers with missing income: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</si>
</sst>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2"/>
    </row>
    <row r="4">
      <c r="A4" s="1" t="s">
        <v>1</v>
      </c>
    </row>
    <row r="5">
      <c r="A5" s="2"/>
    </row>
    <row r="6">
      <c r="A6" s="1" t="s">
        <v>2</v>
      </c>
    </row>
    <row r="7">
      <c r="A7" s="2"/>
    </row>
    <row r="8">
      <c r="A8" s="1" t="s">
        <v>3</v>
      </c>
    </row>
    <row r="9">
      <c r="A9" s="2"/>
    </row>
    <row r="10">
      <c r="A10" s="1" t="s">
        <v>4</v>
      </c>
    </row>
    <row r="11">
      <c r="A11" s="2"/>
    </row>
    <row r="12">
      <c r="A12" s="1" t="s">
        <v>5</v>
      </c>
    </row>
    <row r="13">
      <c r="A13" s="2"/>
    </row>
    <row r="14">
      <c r="A14" s="1" t="s">
        <v>6</v>
      </c>
    </row>
    <row r="15">
      <c r="A15" s="2"/>
    </row>
    <row r="16">
      <c r="A16" s="1" t="s">
        <v>7</v>
      </c>
    </row>
    <row r="17">
      <c r="A17" s="1" t="s">
        <v>8</v>
      </c>
    </row>
    <row r="18">
      <c r="A18" s="1"/>
    </row>
    <row r="19">
      <c r="A19" s="1" t="s">
        <v>9</v>
      </c>
    </row>
    <row r="20">
      <c r="A20" s="2"/>
    </row>
    <row r="21">
      <c r="A21" s="1" t="s">
        <v>10</v>
      </c>
    </row>
    <row r="22">
      <c r="A22" s="2"/>
    </row>
    <row r="23">
      <c r="A23" s="3" t="s">
        <v>11</v>
      </c>
    </row>
    <row r="24">
      <c r="A24" s="4"/>
    </row>
    <row r="25">
      <c r="A25" s="3" t="s">
        <v>12</v>
      </c>
    </row>
    <row r="26">
      <c r="A26" s="4"/>
    </row>
    <row r="27">
      <c r="A27" s="3" t="s">
        <v>13</v>
      </c>
    </row>
    <row r="28">
      <c r="A28" s="4"/>
    </row>
    <row r="29">
      <c r="A29" s="3" t="s">
        <v>14</v>
      </c>
    </row>
    <row r="30">
      <c r="A30" s="4"/>
    </row>
    <row r="31">
      <c r="A31" s="3" t="s">
        <v>15</v>
      </c>
    </row>
    <row r="32">
      <c r="A32" s="1" t="s">
        <v>16</v>
      </c>
    </row>
    <row r="33">
      <c r="A33" s="1" t="s">
        <v>17</v>
      </c>
    </row>
    <row r="34">
      <c r="A34" s="3" t="s">
        <v>18</v>
      </c>
    </row>
    <row r="35">
      <c r="A35" s="4"/>
    </row>
    <row r="36">
      <c r="A36" s="3" t="s">
        <v>19</v>
      </c>
    </row>
    <row r="37">
      <c r="A37" s="4"/>
    </row>
    <row r="38">
      <c r="A38" s="3" t="s">
        <v>20</v>
      </c>
    </row>
    <row r="39">
      <c r="A39" s="4"/>
    </row>
    <row r="40">
      <c r="A40" s="3" t="s">
        <v>21</v>
      </c>
    </row>
    <row r="41">
      <c r="A41" s="1" t="s">
        <v>22</v>
      </c>
    </row>
    <row r="42">
      <c r="A42" s="3" t="s">
        <v>23</v>
      </c>
    </row>
    <row r="43">
      <c r="A43" s="3"/>
    </row>
    <row r="44">
      <c r="A44" s="3" t="s">
        <v>24</v>
      </c>
    </row>
    <row r="45">
      <c r="A45" s="4"/>
    </row>
    <row r="46">
      <c r="A46" s="3" t="s">
        <v>25</v>
      </c>
    </row>
    <row r="47">
      <c r="A47" s="4"/>
    </row>
    <row r="48">
      <c r="A48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  <col customWidth="1" min="7" max="7" width="21.38"/>
  </cols>
  <sheetData>
    <row r="1">
      <c r="A1" s="5" t="s">
        <v>27</v>
      </c>
      <c r="B1" s="5"/>
      <c r="C1" s="5"/>
      <c r="D1" s="5"/>
      <c r="E1" s="5"/>
      <c r="F1" s="5"/>
      <c r="G1" s="5" t="s">
        <v>28</v>
      </c>
      <c r="H1" s="5" t="s">
        <v>29</v>
      </c>
    </row>
    <row r="2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5"/>
      <c r="H2" s="5"/>
    </row>
    <row r="3">
      <c r="A3" s="6">
        <v>101.0</v>
      </c>
      <c r="B3" s="6" t="s">
        <v>36</v>
      </c>
      <c r="C3" s="6" t="s">
        <v>37</v>
      </c>
      <c r="D3" s="6">
        <v>12000.0</v>
      </c>
      <c r="E3" s="6">
        <v>65000.0</v>
      </c>
      <c r="F3" s="6" t="s">
        <v>38</v>
      </c>
      <c r="G3" s="5"/>
      <c r="H3" s="5"/>
    </row>
    <row r="4">
      <c r="A4" s="6">
        <v>102.0</v>
      </c>
      <c r="B4" s="6" t="s">
        <v>39</v>
      </c>
      <c r="C4" s="6" t="s">
        <v>40</v>
      </c>
      <c r="D4" s="7"/>
      <c r="E4" s="7"/>
      <c r="F4" s="6" t="s">
        <v>41</v>
      </c>
      <c r="G4" s="5"/>
      <c r="H4" s="5"/>
    </row>
    <row r="5">
      <c r="A5" s="6">
        <v>103.0</v>
      </c>
      <c r="B5" s="6" t="s">
        <v>42</v>
      </c>
      <c r="C5" s="6" t="s">
        <v>43</v>
      </c>
      <c r="D5" s="6">
        <v>15000.0</v>
      </c>
      <c r="E5" s="6">
        <v>72000.0</v>
      </c>
      <c r="F5" s="6" t="s">
        <v>41</v>
      </c>
      <c r="G5" s="5"/>
      <c r="H5" s="5"/>
    </row>
    <row r="6">
      <c r="A6" s="6">
        <v>104.0</v>
      </c>
      <c r="B6" s="6" t="s">
        <v>44</v>
      </c>
      <c r="C6" s="6" t="s">
        <v>45</v>
      </c>
      <c r="D6" s="7"/>
      <c r="E6" s="7"/>
      <c r="F6" s="6" t="s">
        <v>46</v>
      </c>
      <c r="G6" s="5"/>
      <c r="H6" s="5"/>
    </row>
    <row r="7">
      <c r="A7" s="6">
        <v>105.0</v>
      </c>
      <c r="B7" s="6" t="s">
        <v>47</v>
      </c>
      <c r="C7" s="6" t="s">
        <v>48</v>
      </c>
      <c r="D7" s="6">
        <v>18000.0</v>
      </c>
      <c r="E7" s="6">
        <v>58000.0</v>
      </c>
      <c r="F7" s="7"/>
      <c r="G7" s="8"/>
      <c r="H7" s="8"/>
    </row>
    <row r="8">
      <c r="A8" s="6">
        <v>106.0</v>
      </c>
      <c r="B8" s="6" t="s">
        <v>49</v>
      </c>
      <c r="C8" s="6" t="s">
        <v>50</v>
      </c>
      <c r="D8" s="7"/>
      <c r="E8" s="6">
        <v>61000.0</v>
      </c>
      <c r="F8" s="6" t="s">
        <v>38</v>
      </c>
      <c r="G8" s="5"/>
      <c r="H8" s="5"/>
    </row>
    <row r="9">
      <c r="A9" s="6">
        <v>107.0</v>
      </c>
      <c r="B9" s="6" t="s">
        <v>51</v>
      </c>
      <c r="C9" s="6" t="s">
        <v>52</v>
      </c>
      <c r="D9" s="6">
        <v>14000.0</v>
      </c>
      <c r="E9" s="7"/>
      <c r="F9" s="6" t="s">
        <v>53</v>
      </c>
      <c r="G9" s="5"/>
      <c r="H9" s="5"/>
    </row>
    <row r="10">
      <c r="A10" s="6">
        <v>108.0</v>
      </c>
      <c r="B10" s="6" t="s">
        <v>54</v>
      </c>
      <c r="C10" s="6" t="s">
        <v>55</v>
      </c>
      <c r="D10" s="6">
        <v>16000.0</v>
      </c>
      <c r="E10" s="6">
        <v>69000.0</v>
      </c>
      <c r="F10" s="6" t="s">
        <v>46</v>
      </c>
      <c r="G10" s="5"/>
      <c r="H10" s="5"/>
    </row>
    <row r="12">
      <c r="A12" s="9" t="s">
        <v>56</v>
      </c>
    </row>
    <row r="13">
      <c r="A13" s="6" t="s">
        <v>30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35</v>
      </c>
      <c r="G13" s="5"/>
      <c r="H13" s="5"/>
    </row>
    <row r="14">
      <c r="A14" s="6">
        <v>101.0</v>
      </c>
      <c r="B14" s="6" t="s">
        <v>36</v>
      </c>
      <c r="C14" s="6" t="s">
        <v>37</v>
      </c>
      <c r="D14" s="6">
        <v>12000.0</v>
      </c>
      <c r="E14" s="6">
        <v>65000.0</v>
      </c>
      <c r="F14" s="6" t="s">
        <v>38</v>
      </c>
      <c r="G14" s="5"/>
      <c r="H14" s="5"/>
    </row>
    <row r="15">
      <c r="A15" s="6">
        <v>102.0</v>
      </c>
      <c r="B15" s="6" t="s">
        <v>39</v>
      </c>
      <c r="C15" s="6" t="s">
        <v>40</v>
      </c>
      <c r="D15" s="7"/>
      <c r="E15" s="7"/>
      <c r="F15" s="6" t="s">
        <v>41</v>
      </c>
      <c r="G15" s="5"/>
      <c r="H15" s="5"/>
    </row>
    <row r="16">
      <c r="A16" s="6">
        <v>103.0</v>
      </c>
      <c r="B16" s="6" t="s">
        <v>42</v>
      </c>
      <c r="C16" s="6" t="s">
        <v>43</v>
      </c>
      <c r="D16" s="6">
        <v>15000.0</v>
      </c>
      <c r="E16" s="6">
        <v>72000.0</v>
      </c>
      <c r="F16" s="6" t="s">
        <v>41</v>
      </c>
      <c r="G16" s="5"/>
      <c r="H16" s="5"/>
    </row>
    <row r="17">
      <c r="A17" s="6">
        <v>104.0</v>
      </c>
      <c r="B17" s="6" t="s">
        <v>44</v>
      </c>
      <c r="C17" s="6" t="s">
        <v>45</v>
      </c>
      <c r="D17" s="7"/>
      <c r="E17" s="7"/>
      <c r="F17" s="6" t="s">
        <v>46</v>
      </c>
      <c r="G17" s="5"/>
      <c r="H17" s="5"/>
    </row>
    <row r="18" hidden="1">
      <c r="A18" s="6">
        <v>105.0</v>
      </c>
      <c r="B18" s="6" t="s">
        <v>47</v>
      </c>
      <c r="C18" s="6" t="s">
        <v>48</v>
      </c>
      <c r="D18" s="6">
        <v>18000.0</v>
      </c>
      <c r="E18" s="6">
        <v>58000.0</v>
      </c>
      <c r="F18" s="7"/>
      <c r="G18" s="8"/>
      <c r="H18" s="8"/>
    </row>
    <row r="19">
      <c r="A19" s="6">
        <v>106.0</v>
      </c>
      <c r="B19" s="6" t="s">
        <v>49</v>
      </c>
      <c r="C19" s="6" t="s">
        <v>50</v>
      </c>
      <c r="D19" s="7"/>
      <c r="E19" s="6">
        <v>61000.0</v>
      </c>
      <c r="F19" s="6" t="s">
        <v>38</v>
      </c>
      <c r="G19" s="5"/>
      <c r="H19" s="5"/>
    </row>
    <row r="20">
      <c r="A20" s="6">
        <v>107.0</v>
      </c>
      <c r="B20" s="6" t="s">
        <v>51</v>
      </c>
      <c r="C20" s="6" t="s">
        <v>52</v>
      </c>
      <c r="D20" s="6">
        <v>14000.0</v>
      </c>
      <c r="E20" s="7"/>
      <c r="F20" s="6" t="s">
        <v>53</v>
      </c>
      <c r="G20" s="5"/>
      <c r="H20" s="5"/>
    </row>
    <row r="21">
      <c r="A21" s="6">
        <v>108.0</v>
      </c>
      <c r="B21" s="6" t="s">
        <v>54</v>
      </c>
      <c r="C21" s="6" t="s">
        <v>55</v>
      </c>
      <c r="D21" s="6">
        <v>16000.0</v>
      </c>
      <c r="E21" s="6">
        <v>69000.0</v>
      </c>
      <c r="F21" s="6" t="s">
        <v>46</v>
      </c>
      <c r="G21" s="5"/>
      <c r="H21" s="5"/>
    </row>
    <row r="23">
      <c r="A23" s="10" t="s">
        <v>57</v>
      </c>
    </row>
    <row r="24">
      <c r="A24" s="10" t="s">
        <v>58</v>
      </c>
    </row>
    <row r="26">
      <c r="A26" s="9" t="s">
        <v>59</v>
      </c>
    </row>
    <row r="27">
      <c r="A27" s="10" t="s">
        <v>60</v>
      </c>
    </row>
    <row r="28">
      <c r="A28" s="11"/>
    </row>
    <row r="29">
      <c r="A29" s="10" t="s">
        <v>61</v>
      </c>
    </row>
    <row r="30">
      <c r="A30" s="10"/>
    </row>
    <row r="31">
      <c r="A31" s="10"/>
    </row>
    <row r="32">
      <c r="A32" s="6" t="s">
        <v>30</v>
      </c>
      <c r="B32" s="6" t="s">
        <v>31</v>
      </c>
      <c r="C32" s="6" t="s">
        <v>32</v>
      </c>
      <c r="D32" s="6" t="s">
        <v>33</v>
      </c>
      <c r="E32" s="6" t="s">
        <v>34</v>
      </c>
      <c r="F32" s="6" t="s">
        <v>35</v>
      </c>
      <c r="G32" s="5" t="s">
        <v>62</v>
      </c>
      <c r="H32" s="5"/>
    </row>
    <row r="33">
      <c r="A33" s="6">
        <v>101.0</v>
      </c>
      <c r="B33" s="6" t="s">
        <v>36</v>
      </c>
      <c r="C33" s="6" t="s">
        <v>37</v>
      </c>
      <c r="D33" s="6">
        <v>12000.0</v>
      </c>
      <c r="E33" s="6">
        <v>65000.0</v>
      </c>
      <c r="F33" s="6" t="s">
        <v>38</v>
      </c>
      <c r="G33" s="5">
        <f t="shared" ref="G33:G39" si="1">IF(ISBLANK(D33), G32, D33)</f>
        <v>12000</v>
      </c>
      <c r="H33" s="5"/>
    </row>
    <row r="34">
      <c r="A34" s="6">
        <v>102.0</v>
      </c>
      <c r="B34" s="6" t="s">
        <v>39</v>
      </c>
      <c r="C34" s="6" t="s">
        <v>40</v>
      </c>
      <c r="D34" s="7"/>
      <c r="E34" s="7"/>
      <c r="F34" s="6" t="s">
        <v>41</v>
      </c>
      <c r="G34" s="5">
        <f t="shared" si="1"/>
        <v>12000</v>
      </c>
      <c r="H34" s="5"/>
    </row>
    <row r="35">
      <c r="A35" s="6">
        <v>103.0</v>
      </c>
      <c r="B35" s="6" t="s">
        <v>42</v>
      </c>
      <c r="C35" s="6" t="s">
        <v>43</v>
      </c>
      <c r="D35" s="6">
        <v>15000.0</v>
      </c>
      <c r="E35" s="6">
        <v>72000.0</v>
      </c>
      <c r="F35" s="6" t="s">
        <v>41</v>
      </c>
      <c r="G35" s="5">
        <f t="shared" si="1"/>
        <v>15000</v>
      </c>
      <c r="H35" s="5"/>
    </row>
    <row r="36">
      <c r="A36" s="6">
        <v>104.0</v>
      </c>
      <c r="B36" s="6" t="s">
        <v>44</v>
      </c>
      <c r="C36" s="6" t="s">
        <v>45</v>
      </c>
      <c r="D36" s="7"/>
      <c r="E36" s="7"/>
      <c r="F36" s="6" t="s">
        <v>46</v>
      </c>
      <c r="G36" s="5">
        <f t="shared" si="1"/>
        <v>15000</v>
      </c>
      <c r="H36" s="5"/>
    </row>
    <row r="37">
      <c r="A37" s="6">
        <v>106.0</v>
      </c>
      <c r="B37" s="6" t="s">
        <v>49</v>
      </c>
      <c r="C37" s="6" t="s">
        <v>50</v>
      </c>
      <c r="D37" s="7"/>
      <c r="E37" s="6">
        <v>61000.0</v>
      </c>
      <c r="F37" s="6" t="s">
        <v>38</v>
      </c>
      <c r="G37" s="5">
        <f t="shared" si="1"/>
        <v>15000</v>
      </c>
      <c r="H37" s="5"/>
    </row>
    <row r="38">
      <c r="A38" s="6">
        <v>107.0</v>
      </c>
      <c r="B38" s="6" t="s">
        <v>51</v>
      </c>
      <c r="C38" s="6" t="s">
        <v>52</v>
      </c>
      <c r="D38" s="6">
        <v>14000.0</v>
      </c>
      <c r="E38" s="7"/>
      <c r="F38" s="6" t="s">
        <v>53</v>
      </c>
      <c r="G38" s="5">
        <f t="shared" si="1"/>
        <v>14000</v>
      </c>
      <c r="H38" s="5"/>
    </row>
    <row r="39">
      <c r="A39" s="6">
        <v>108.0</v>
      </c>
      <c r="B39" s="6" t="s">
        <v>54</v>
      </c>
      <c r="C39" s="6" t="s">
        <v>55</v>
      </c>
      <c r="D39" s="6">
        <v>16000.0</v>
      </c>
      <c r="E39" s="6">
        <v>69000.0</v>
      </c>
      <c r="F39" s="6" t="s">
        <v>46</v>
      </c>
      <c r="G39" s="5">
        <f t="shared" si="1"/>
        <v>16000</v>
      </c>
      <c r="H39" s="5"/>
    </row>
    <row r="40">
      <c r="A40" s="9" t="s">
        <v>63</v>
      </c>
    </row>
    <row r="41">
      <c r="A41" s="9" t="s">
        <v>64</v>
      </c>
    </row>
    <row r="44">
      <c r="A44" s="9" t="s">
        <v>65</v>
      </c>
    </row>
    <row r="46">
      <c r="A46" s="6" t="s">
        <v>30</v>
      </c>
      <c r="B46" s="6" t="s">
        <v>31</v>
      </c>
      <c r="C46" s="6" t="s">
        <v>32</v>
      </c>
      <c r="D46" s="6" t="s">
        <v>33</v>
      </c>
      <c r="E46" s="6" t="s">
        <v>34</v>
      </c>
      <c r="F46" s="9" t="s">
        <v>66</v>
      </c>
    </row>
    <row r="47">
      <c r="A47" s="6">
        <v>101.0</v>
      </c>
      <c r="B47" s="6" t="s">
        <v>36</v>
      </c>
      <c r="C47" s="6" t="s">
        <v>37</v>
      </c>
      <c r="D47" s="6">
        <v>12000.0</v>
      </c>
      <c r="E47" s="6">
        <v>65000.0</v>
      </c>
      <c r="F47" s="12">
        <f t="shared" ref="F47:F53" si="2">IF(E47&gt;0,1,0)</f>
        <v>1</v>
      </c>
    </row>
    <row r="48">
      <c r="A48" s="6">
        <v>102.0</v>
      </c>
      <c r="B48" s="6" t="s">
        <v>39</v>
      </c>
      <c r="C48" s="6" t="s">
        <v>40</v>
      </c>
      <c r="D48" s="7"/>
      <c r="E48" s="7"/>
      <c r="F48" s="12">
        <f t="shared" si="2"/>
        <v>0</v>
      </c>
    </row>
    <row r="49">
      <c r="A49" s="6">
        <v>103.0</v>
      </c>
      <c r="B49" s="6" t="s">
        <v>42</v>
      </c>
      <c r="C49" s="6" t="s">
        <v>43</v>
      </c>
      <c r="D49" s="6">
        <v>15000.0</v>
      </c>
      <c r="E49" s="6">
        <v>72000.0</v>
      </c>
      <c r="F49" s="12">
        <f t="shared" si="2"/>
        <v>1</v>
      </c>
    </row>
    <row r="50">
      <c r="A50" s="6">
        <v>104.0</v>
      </c>
      <c r="B50" s="6" t="s">
        <v>44</v>
      </c>
      <c r="C50" s="6" t="s">
        <v>45</v>
      </c>
      <c r="D50" s="7"/>
      <c r="E50" s="7"/>
      <c r="F50" s="12">
        <f t="shared" si="2"/>
        <v>0</v>
      </c>
    </row>
    <row r="51">
      <c r="A51" s="6">
        <v>106.0</v>
      </c>
      <c r="B51" s="6" t="s">
        <v>49</v>
      </c>
      <c r="C51" s="6" t="s">
        <v>50</v>
      </c>
      <c r="D51" s="7"/>
      <c r="E51" s="6">
        <v>61000.0</v>
      </c>
      <c r="F51" s="12">
        <f t="shared" si="2"/>
        <v>1</v>
      </c>
    </row>
    <row r="52">
      <c r="A52" s="6">
        <v>107.0</v>
      </c>
      <c r="B52" s="6" t="s">
        <v>51</v>
      </c>
      <c r="C52" s="6" t="s">
        <v>52</v>
      </c>
      <c r="D52" s="6">
        <v>14000.0</v>
      </c>
      <c r="E52" s="7"/>
      <c r="F52" s="12">
        <f t="shared" si="2"/>
        <v>0</v>
      </c>
    </row>
    <row r="53">
      <c r="A53" s="6">
        <v>108.0</v>
      </c>
      <c r="B53" s="6" t="s">
        <v>54</v>
      </c>
      <c r="C53" s="6" t="s">
        <v>55</v>
      </c>
      <c r="D53" s="6">
        <v>16000.0</v>
      </c>
      <c r="E53" s="6">
        <v>69000.0</v>
      </c>
      <c r="F53" s="12">
        <f t="shared" si="2"/>
        <v>1</v>
      </c>
    </row>
    <row r="55">
      <c r="A55" s="9" t="s">
        <v>67</v>
      </c>
    </row>
    <row r="57">
      <c r="A57" s="9">
        <v>3.0</v>
      </c>
    </row>
  </sheetData>
  <autoFilter ref="$A$13:$F$21">
    <filterColumn colId="5">
      <filters>
        <filter val="West"/>
        <filter val="South"/>
        <filter val="North"/>
        <filter val="East"/>
      </filters>
    </filterColumn>
  </autoFilter>
  <drawing r:id="rId1"/>
</worksheet>
</file>