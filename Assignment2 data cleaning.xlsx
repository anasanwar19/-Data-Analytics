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\OneDrive\Documents\"/>
    </mc:Choice>
  </mc:AlternateContent>
  <xr:revisionPtr revIDLastSave="0" documentId="8_{105BCFC5-B043-480A-860A-2B000F4DEA34}" xr6:coauthVersionLast="47" xr6:coauthVersionMax="47" xr10:uidLastSave="{00000000-0000-0000-0000-000000000000}"/>
  <bookViews>
    <workbookView xWindow="-108" yWindow="-108" windowWidth="23256" windowHeight="12456" firstSheet="5" activeTab="7" xr2:uid="{62ED3DC3-B8F6-47C3-A8DD-42B42EE5386F}"/>
  </bookViews>
  <sheets>
    <sheet name="Question 1" sheetId="1" r:id="rId1"/>
    <sheet name="Question 2" sheetId="3" r:id="rId2"/>
    <sheet name="Question 3" sheetId="4" r:id="rId3"/>
    <sheet name="Question 4" sheetId="5" r:id="rId4"/>
    <sheet name="Question 5" sheetId="6" r:id="rId5"/>
    <sheet name="Question 6" sheetId="7" r:id="rId6"/>
    <sheet name="Question 7" sheetId="8" r:id="rId7"/>
    <sheet name="Question 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9" l="1"/>
  <c r="D8" i="9"/>
  <c r="C3" i="8"/>
  <c r="C4" i="8"/>
  <c r="C5" i="8"/>
  <c r="C6" i="8"/>
  <c r="C2" i="8"/>
  <c r="O15" i="8"/>
  <c r="O14" i="8"/>
  <c r="O13" i="8"/>
  <c r="O12" i="8"/>
  <c r="L15" i="7"/>
  <c r="L14" i="7"/>
  <c r="L13" i="7"/>
  <c r="L12" i="7"/>
  <c r="L11" i="7"/>
  <c r="H19" i="4"/>
  <c r="H18" i="4"/>
  <c r="H17" i="4"/>
  <c r="H16" i="4"/>
  <c r="H15" i="4"/>
</calcChain>
</file>

<file path=xl/sharedStrings.xml><?xml version="1.0" encoding="utf-8"?>
<sst xmlns="http://schemas.openxmlformats.org/spreadsheetml/2006/main" count="148" uniqueCount="125">
  <si>
    <t xml:space="preserve">correct conclusion after making analysis. </t>
  </si>
  <si>
    <t> What is data cleaning, and why is it important in data analysis?</t>
  </si>
  <si>
    <t> What are the potential consequences of analyzing unclean or messy data?</t>
  </si>
  <si>
    <t> Explain the common steps involved in cleaning and organizing data.</t>
  </si>
  <si>
    <t xml:space="preserve">Answer -&gt; Data Cleaning: Data Cleaning means fixing the errors and properly organizing the messy </t>
  </si>
  <si>
    <t xml:space="preserve">and unstructured data and making it clean so that it can used to access some information </t>
  </si>
  <si>
    <t xml:space="preserve">and making it accurate also. </t>
  </si>
  <si>
    <t xml:space="preserve">Important: If the data is not properly structured, we can extract useful and accurate </t>
  </si>
  <si>
    <t xml:space="preserve">information from it. Clean data gives correct and accurate information and leads to </t>
  </si>
  <si>
    <t xml:space="preserve">Consequences of analyzing messy data: </t>
  </si>
  <si>
    <t xml:space="preserve">1. Wrong business decisions </t>
  </si>
  <si>
    <t xml:space="preserve">2. Incorrect reports </t>
  </si>
  <si>
    <t xml:space="preserve">3. Wasted time and money </t>
  </si>
  <si>
    <t xml:space="preserve">Common steps in data cleaning: </t>
  </si>
  <si>
    <t xml:space="preserve">1. Remove duplicate entries </t>
  </si>
  <si>
    <t xml:space="preserve">2. Fix spelling errors </t>
  </si>
  <si>
    <t xml:space="preserve">3. Fill missing values </t>
  </si>
  <si>
    <t xml:space="preserve">4. Remove irrelevant data </t>
  </si>
  <si>
    <t xml:space="preserve">5. Standardize formats (like dates) </t>
  </si>
  <si>
    <t xml:space="preserve">Example: If a customer's name is written as "Anas," "ANAS," and "anas" in different </t>
  </si>
  <si>
    <t>rows, clean it to just "Anas."</t>
  </si>
  <si>
    <t>Employee</t>
  </si>
  <si>
    <t>Department</t>
  </si>
  <si>
    <t>Salary</t>
  </si>
  <si>
    <t>Sonu</t>
  </si>
  <si>
    <t>Pranav</t>
  </si>
  <si>
    <t>Rahul</t>
  </si>
  <si>
    <t>IT</t>
  </si>
  <si>
    <t>HR</t>
  </si>
  <si>
    <t xml:space="preserve"> 1. First, sort the Department column alphabetically (A-Z) </t>
  </si>
  <si>
    <t>2. Then, within each department, sort the Salary from highest to lowest.</t>
  </si>
  <si>
    <t>Sort by Department (A-Z), then by Salary (Largest to Smallest) Steps to follow: (We will use custom sort)</t>
  </si>
  <si>
    <t>1. TRIM: Removes extra spaces from the text (from start, middle and end)</t>
  </si>
  <si>
    <t>2. LEFT: Extract the characters from the left side of text</t>
  </si>
  <si>
    <t>3. RIGHT: Extract the characters from the right side of text</t>
  </si>
  <si>
    <t>4. MID: Extract the characters from the middle of the text</t>
  </si>
  <si>
    <t>5. CONCAT: Joins 2 or more texts together</t>
  </si>
  <si>
    <t>Functions</t>
  </si>
  <si>
    <t>Trim</t>
  </si>
  <si>
    <t>Left</t>
  </si>
  <si>
    <t>Right</t>
  </si>
  <si>
    <t>Mid</t>
  </si>
  <si>
    <t>Concat</t>
  </si>
  <si>
    <t>Values</t>
  </si>
  <si>
    <t>Explain the use of text functions such as TRIM , LEFT, RIGHT, MID, and CONCAT in data cleaning.</t>
  </si>
  <si>
    <t>What is the role of date functions like TODAY in managing datasets?</t>
  </si>
  <si>
    <r>
      <rPr>
        <b/>
        <sz val="12"/>
        <color theme="1"/>
        <rFont val="Aptos Narrow"/>
        <family val="2"/>
        <scheme val="minor"/>
      </rPr>
      <t>Role:</t>
    </r>
    <r>
      <rPr>
        <sz val="12"/>
        <color theme="1"/>
        <rFont val="Aptos Narrow"/>
        <family val="2"/>
        <scheme val="minor"/>
      </rPr>
      <t xml:space="preserve"> Automatically shows today's date</t>
    </r>
  </si>
  <si>
    <r>
      <rPr>
        <b/>
        <sz val="12"/>
        <color theme="1"/>
        <rFont val="Aptos Narrow"/>
        <family val="2"/>
        <scheme val="minor"/>
      </rPr>
      <t>Use:</t>
    </r>
    <r>
      <rPr>
        <sz val="12"/>
        <color theme="1"/>
        <rFont val="Aptos Narrow"/>
        <family val="2"/>
        <scheme val="minor"/>
      </rPr>
      <t xml:space="preserve"> Track how old records are, calculate due dates, filter recent data</t>
    </r>
  </si>
  <si>
    <r>
      <rPr>
        <b/>
        <sz val="12"/>
        <color theme="1"/>
        <rFont val="Aptos Narrow"/>
        <family val="2"/>
        <scheme val="minor"/>
      </rPr>
      <t>Example:</t>
    </r>
    <r>
      <rPr>
        <sz val="12"/>
        <color theme="1"/>
        <rFont val="Aptos Narrow"/>
        <family val="2"/>
        <scheme val="minor"/>
      </rPr>
      <t xml:space="preserve"> If we’ll write =TODAY() in function tab it will return 07/12/2025 and order date is 01-Dec-2025, you can calculate it's 6 days old.</t>
    </r>
  </si>
  <si>
    <t>Jane Smith</t>
  </si>
  <si>
    <t>Isabella Moore</t>
  </si>
  <si>
    <t>Daniel Davis</t>
  </si>
  <si>
    <t>Alex Moore</t>
  </si>
  <si>
    <t>Michael Johnson</t>
  </si>
  <si>
    <t>Daniel Johnson</t>
  </si>
  <si>
    <t>Isabella Davis</t>
  </si>
  <si>
    <t>Jane Davis</t>
  </si>
  <si>
    <t>Alex Wilson</t>
  </si>
  <si>
    <t>Customer Name</t>
  </si>
  <si>
    <t>Product Name</t>
  </si>
  <si>
    <t>Shoes</t>
  </si>
  <si>
    <t>Laptop</t>
  </si>
  <si>
    <t>Sofa</t>
  </si>
  <si>
    <t>Table Lamp</t>
  </si>
  <si>
    <t>Backpack</t>
  </si>
  <si>
    <t>Headphones</t>
  </si>
  <si>
    <t>T-shirt</t>
  </si>
  <si>
    <t>Category</t>
  </si>
  <si>
    <t>Electronics</t>
  </si>
  <si>
    <t>Clothing</t>
  </si>
  <si>
    <t>Home Decor</t>
  </si>
  <si>
    <t>Quantity</t>
  </si>
  <si>
    <t>Unit Price ($)</t>
  </si>
  <si>
    <t>Step-by-step approach:</t>
  </si>
  <si>
    <t>a. Input message:</t>
  </si>
  <si>
    <t>1. Select the Quantity column</t>
  </si>
  <si>
    <t>3. Choose "Whole Number" between 1 and 10</t>
  </si>
  <si>
    <t>4. In "Input Message" tab, write: "Please enter a whole number between 1 and 10."</t>
  </si>
  <si>
    <t>b. Error alert:</t>
  </si>
  <si>
    <t>1. In "Error Alert" tab, choose "Stop" style</t>
  </si>
  <si>
    <t>2. Write message: "Invalid Input! The quantity must be a whole number between 1 and 10."</t>
  </si>
  <si>
    <r>
      <t xml:space="preserve">2. Go to </t>
    </r>
    <r>
      <rPr>
        <b/>
        <sz val="12"/>
        <color theme="1"/>
        <rFont val="Aptos Narrow"/>
        <family val="2"/>
        <scheme val="minor"/>
      </rPr>
      <t>Data → Data Validation</t>
    </r>
  </si>
  <si>
    <t>Understand and apply fundamental text functions like LEFT, RIGHT, MID, and LEN.</t>
  </si>
  <si>
    <t>. Extract the first 5 characters from the string "ExcelTipsAreGreat" using the LEFT function</t>
  </si>
  <si>
    <t>. Extract the last 4 characters from "DataAnalysis.xlsx" using the RIGHT function.</t>
  </si>
  <si>
    <t>. Extract the substring "Tips" from "ExcelTipsAreGreat" using the MID function.</t>
  </si>
  <si>
    <t>. Count the total number of characters in the string "Hello World!" using the LEN function.</t>
  </si>
  <si>
    <t xml:space="preserve">1. Extract the first 5 characters from the string "ExcelTipsAreGreat" using the LEFT function. </t>
  </si>
  <si>
    <t>2. Extract the last 4 characters from "DataAnalysis.xlsx" using the RIGHT function.</t>
  </si>
  <si>
    <t>3. Extract the substring "Tips" from "ExcelTipsAreGreat" using the MID function.</t>
  </si>
  <si>
    <t xml:space="preserve">4. Count the total number of characters in the string "Hello World!" using the LEN function. </t>
  </si>
  <si>
    <t>5. Create a formula to extract the middle 6 characters from "12345-67890-ABCDE".</t>
  </si>
  <si>
    <t>Particulars</t>
  </si>
  <si>
    <t>Amount</t>
  </si>
  <si>
    <t>Answer-</t>
  </si>
  <si>
    <t>Understand how to combine text using CONCAT, TEXTJOIN, and the &amp; operator.</t>
  </si>
  <si>
    <t>a. Use CONCAT to combine "Hello" and "World" with a space in between.</t>
  </si>
  <si>
    <t>b.Combine first names in column A with last names in column B to create full names in column C.</t>
  </si>
  <si>
    <t>c. Use the &amp; operator to create the string "2025: Excel Functions" by combining "2025", ": ", and "Excel Functions</t>
  </si>
  <si>
    <t>d. Create a comma-separated list from the range A1:A5 using TEXTJOIN</t>
  </si>
  <si>
    <t>e. Combine first names in column A with last names in column B to create full names in column C.</t>
  </si>
  <si>
    <t>Answer</t>
  </si>
  <si>
    <t>First Name</t>
  </si>
  <si>
    <t>Last Name</t>
  </si>
  <si>
    <t>Full Name</t>
  </si>
  <si>
    <t xml:space="preserve">Md </t>
  </si>
  <si>
    <t>Anas</t>
  </si>
  <si>
    <t>Virat</t>
  </si>
  <si>
    <t>Kohli</t>
  </si>
  <si>
    <t>Shoaib</t>
  </si>
  <si>
    <t>Ahmad</t>
  </si>
  <si>
    <t>Ankit</t>
  </si>
  <si>
    <t>Kumar</t>
  </si>
  <si>
    <t>Faizan</t>
  </si>
  <si>
    <t>Alam</t>
  </si>
  <si>
    <t>Understanding TODAY() and NOW()</t>
  </si>
  <si>
    <t>d. If a cell contains =TODAY(), what will happen when the worksheet is reopened the next day? Explain</t>
  </si>
  <si>
    <t>a. What is the difference between TODAY() and NOW() in Excel? Provide an example of when you would use_x000B_ each function</t>
  </si>
  <si>
    <t>b. If cell A1 contains the date 2025-06-10, write a formula using TODAY() to determine how many days are left until that date</t>
  </si>
  <si>
    <t xml:space="preserve">c. Write an Excel formula using NOW() to display the current date and time in the format MM/DD/YYYY HH:MM AM/PM. </t>
  </si>
  <si>
    <t>e. You want to store a static date (today’s date) in a cell without it changing every day. What keyboard should you see</t>
  </si>
  <si>
    <t>TODAY() returns only the current date (no time). Example - 11/12/2025</t>
  </si>
  <si>
    <t>NOW() returns current date and time. Example - 11/12/2025 3:25 PM</t>
  </si>
  <si>
    <t>Answer -</t>
  </si>
  <si>
    <t>When you open the file the next day, =TODAY() updates automatically to the new current date. It always refreshes to show today's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</si>
</sst>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m/dd/yyyy\ hh:mm\ AM/PM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ourier New"/>
      <family val="3"/>
    </font>
    <font>
      <b/>
      <sz val="11"/>
      <color theme="1"/>
      <name val="Courier New"/>
      <family val="3"/>
    </font>
    <font>
      <sz val="12"/>
      <color theme="1"/>
      <name val="Aptos Narrow"/>
      <family val="2"/>
      <scheme val="minor"/>
    </font>
    <font>
      <b/>
      <sz val="12"/>
      <color theme="1"/>
      <name val="Courier New"/>
      <family val="3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3" borderId="0" xfId="0" applyFont="1" applyFill="1" applyAlignment="1">
      <alignment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/>
    <xf numFmtId="0" fontId="1" fillId="2" borderId="0" xfId="0" applyFont="1" applyFill="1"/>
    <xf numFmtId="0" fontId="6" fillId="3" borderId="0" xfId="0" applyFont="1" applyFill="1"/>
    <xf numFmtId="0" fontId="6" fillId="0" borderId="0" xfId="0" applyFont="1"/>
    <xf numFmtId="0" fontId="0" fillId="4" borderId="0" xfId="0" applyFill="1"/>
    <xf numFmtId="0" fontId="6" fillId="5" borderId="0" xfId="0" applyFont="1" applyFill="1"/>
    <xf numFmtId="0" fontId="0" fillId="6" borderId="0" xfId="0" applyFill="1"/>
    <xf numFmtId="0" fontId="4" fillId="6" borderId="0" xfId="0" applyFont="1" applyFill="1"/>
    <xf numFmtId="0" fontId="6" fillId="6" borderId="0" xfId="0" applyFont="1" applyFill="1"/>
    <xf numFmtId="0" fontId="1" fillId="6" borderId="0" xfId="0" applyFont="1" applyFill="1"/>
    <xf numFmtId="0" fontId="7" fillId="6" borderId="1" xfId="0" applyFont="1" applyFill="1" applyBorder="1"/>
    <xf numFmtId="0" fontId="8" fillId="2" borderId="1" xfId="0" applyFont="1" applyFill="1" applyBorder="1"/>
    <xf numFmtId="0" fontId="6" fillId="4" borderId="0" xfId="0" applyFont="1" applyFill="1"/>
    <xf numFmtId="0" fontId="1" fillId="4" borderId="0" xfId="0" applyFont="1" applyFill="1"/>
    <xf numFmtId="0" fontId="4" fillId="7" borderId="0" xfId="0" applyFont="1" applyFill="1"/>
    <xf numFmtId="0" fontId="0" fillId="7" borderId="0" xfId="0" applyFill="1"/>
    <xf numFmtId="0" fontId="6" fillId="7" borderId="0" xfId="0" applyFont="1" applyFill="1"/>
    <xf numFmtId="0" fontId="6" fillId="2" borderId="2" xfId="0" applyFont="1" applyFill="1" applyBorder="1"/>
    <xf numFmtId="0" fontId="0" fillId="8" borderId="2" xfId="0" applyFill="1" applyBorder="1"/>
    <xf numFmtId="0" fontId="6" fillId="8" borderId="2" xfId="0" applyFont="1" applyFill="1" applyBorder="1"/>
    <xf numFmtId="0" fontId="6" fillId="9" borderId="2" xfId="0" applyFont="1" applyFill="1" applyBorder="1"/>
    <xf numFmtId="0" fontId="6" fillId="6" borderId="2" xfId="0" applyFont="1" applyFill="1" applyBorder="1"/>
    <xf numFmtId="0" fontId="0" fillId="6" borderId="2" xfId="0" applyFill="1" applyBorder="1"/>
    <xf numFmtId="0" fontId="6" fillId="10" borderId="2" xfId="0" applyFont="1" applyFill="1" applyBorder="1"/>
    <xf numFmtId="0" fontId="6" fillId="11" borderId="0" xfId="0" applyFont="1" applyFill="1"/>
    <xf numFmtId="0" fontId="0" fillId="12" borderId="0" xfId="0" applyFill="1"/>
    <xf numFmtId="0" fontId="1" fillId="13" borderId="0" xfId="0" applyFont="1" applyFill="1"/>
    <xf numFmtId="0" fontId="0" fillId="14" borderId="0" xfId="0" applyFill="1"/>
    <xf numFmtId="0" fontId="6" fillId="13" borderId="2" xfId="0" applyFont="1" applyFill="1" applyBorder="1"/>
    <xf numFmtId="0" fontId="0" fillId="14" borderId="2" xfId="0" applyFill="1" applyBorder="1"/>
    <xf numFmtId="0" fontId="6" fillId="14" borderId="0" xfId="0" applyFont="1" applyFill="1"/>
    <xf numFmtId="0" fontId="8" fillId="4" borderId="0" xfId="0" applyFont="1" applyFill="1"/>
    <xf numFmtId="0" fontId="4" fillId="4" borderId="0" xfId="0" applyNumberFormat="1" applyFont="1" applyFill="1"/>
    <xf numFmtId="0" fontId="6" fillId="15" borderId="0" xfId="0" applyFont="1" applyFill="1"/>
    <xf numFmtId="169" fontId="6" fillId="4" borderId="0" xfId="0" applyNumberFormat="1" applyFont="1" applyFill="1"/>
    <xf numFmtId="14" fontId="6" fillId="4" borderId="0" xfId="0" applyNumberFormat="1" applyFont="1" applyFill="1"/>
    <xf numFmtId="14" fontId="6" fillId="1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9251-E994-4D60-99FA-E721BD3AE605}">
  <dimension ref="B2:P22"/>
  <sheetViews>
    <sheetView workbookViewId="0">
      <selection activeCell="H22" sqref="H22"/>
    </sheetView>
  </sheetViews>
  <sheetFormatPr defaultRowHeight="14.4" x14ac:dyDescent="0.3"/>
  <sheetData>
    <row r="2" spans="2:16" ht="18.600000000000001" x14ac:dyDescent="0.3"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x14ac:dyDescent="0.3">
      <c r="B3" s="5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.600000000000001" x14ac:dyDescent="0.3">
      <c r="B4" s="3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6.2" x14ac:dyDescent="0.3">
      <c r="B5" s="6" t="s">
        <v>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  <c r="O5" s="8"/>
      <c r="P5" s="8"/>
    </row>
    <row r="6" spans="2:16" ht="16.2" x14ac:dyDescent="0.3">
      <c r="B6" s="7"/>
      <c r="C6" s="6" t="s">
        <v>5</v>
      </c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8"/>
      <c r="P6" s="8"/>
    </row>
    <row r="7" spans="2:16" ht="16.2" x14ac:dyDescent="0.3">
      <c r="B7" s="7"/>
      <c r="C7" s="6" t="s">
        <v>6</v>
      </c>
      <c r="D7" s="7"/>
      <c r="E7" s="7"/>
      <c r="F7" s="7"/>
      <c r="G7" s="7"/>
      <c r="H7" s="7"/>
      <c r="I7" s="7"/>
      <c r="J7" s="7"/>
      <c r="K7" s="7"/>
      <c r="L7" s="7"/>
      <c r="M7" s="7"/>
      <c r="N7" s="8"/>
      <c r="O7" s="8"/>
      <c r="P7" s="8"/>
    </row>
    <row r="8" spans="2:16" ht="16.2" x14ac:dyDescent="0.3">
      <c r="B8" s="7"/>
      <c r="C8" s="6" t="s">
        <v>7</v>
      </c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8"/>
      <c r="P8" s="8"/>
    </row>
    <row r="9" spans="2:16" ht="16.2" x14ac:dyDescent="0.3">
      <c r="B9" s="7"/>
      <c r="C9" s="6" t="s">
        <v>8</v>
      </c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8"/>
      <c r="P9" s="8"/>
    </row>
    <row r="10" spans="2:16" ht="16.2" x14ac:dyDescent="0.3">
      <c r="B10" s="7"/>
      <c r="C10" s="6" t="s"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8"/>
      <c r="P10" s="8"/>
    </row>
    <row r="11" spans="2:16" ht="16.2" x14ac:dyDescent="0.3">
      <c r="B11" s="7"/>
      <c r="C11" s="6" t="s">
        <v>9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8"/>
      <c r="O11" s="8"/>
      <c r="P11" s="8"/>
    </row>
    <row r="12" spans="2:16" ht="16.2" x14ac:dyDescent="0.3">
      <c r="B12" s="7"/>
      <c r="C12" s="6" t="s">
        <v>10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8"/>
      <c r="O12" s="8"/>
      <c r="P12" s="8"/>
    </row>
    <row r="13" spans="2:16" ht="16.2" x14ac:dyDescent="0.3">
      <c r="B13" s="7"/>
      <c r="C13" s="6" t="s">
        <v>11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8"/>
      <c r="O13" s="8"/>
      <c r="P13" s="8"/>
    </row>
    <row r="14" spans="2:16" ht="16.2" x14ac:dyDescent="0.3">
      <c r="B14" s="7"/>
      <c r="C14" s="6" t="s">
        <v>12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8"/>
      <c r="O14" s="8"/>
      <c r="P14" s="8"/>
    </row>
    <row r="15" spans="2:16" ht="16.2" x14ac:dyDescent="0.3">
      <c r="B15" s="7"/>
      <c r="C15" s="6" t="s">
        <v>13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8"/>
      <c r="O15" s="8"/>
      <c r="P15" s="8"/>
    </row>
    <row r="16" spans="2:16" ht="16.2" x14ac:dyDescent="0.3">
      <c r="B16" s="7"/>
      <c r="C16" s="6" t="s">
        <v>14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8"/>
      <c r="O16" s="8"/>
      <c r="P16" s="8"/>
    </row>
    <row r="17" spans="2:16" ht="16.2" x14ac:dyDescent="0.3">
      <c r="B17" s="7"/>
      <c r="C17" s="6" t="s">
        <v>15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8"/>
      <c r="O17" s="8"/>
      <c r="P17" s="8"/>
    </row>
    <row r="18" spans="2:16" ht="16.2" x14ac:dyDescent="0.3">
      <c r="B18" s="7"/>
      <c r="C18" s="6" t="s">
        <v>16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8"/>
      <c r="O18" s="8"/>
      <c r="P18" s="8"/>
    </row>
    <row r="19" spans="2:16" ht="16.2" x14ac:dyDescent="0.3">
      <c r="B19" s="7"/>
      <c r="C19" s="6" t="s">
        <v>17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8"/>
      <c r="O19" s="8"/>
      <c r="P19" s="8"/>
    </row>
    <row r="20" spans="2:16" ht="16.2" x14ac:dyDescent="0.3">
      <c r="B20" s="7"/>
      <c r="C20" s="6" t="s">
        <v>18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8"/>
      <c r="O20" s="8"/>
      <c r="P20" s="8"/>
    </row>
    <row r="21" spans="2:16" ht="16.2" x14ac:dyDescent="0.3">
      <c r="B21" s="7"/>
      <c r="C21" s="6" t="s">
        <v>19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8"/>
      <c r="O21" s="8"/>
      <c r="P21" s="8"/>
    </row>
    <row r="22" spans="2:16" ht="16.2" x14ac:dyDescent="0.3">
      <c r="B22" s="8"/>
      <c r="C22" s="6" t="s">
        <v>20</v>
      </c>
      <c r="D22" s="7"/>
      <c r="E22" s="7"/>
      <c r="F22" s="7"/>
      <c r="G22" s="7"/>
      <c r="H22" s="8"/>
      <c r="I22" s="8"/>
      <c r="J22" s="8"/>
      <c r="K22" s="8"/>
      <c r="L22" s="8"/>
      <c r="M22" s="8"/>
      <c r="N22" s="8"/>
      <c r="O22" s="8"/>
      <c r="P2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BB87A-AC61-4516-9F36-4D7C27D679D5}">
  <dimension ref="C4:N10"/>
  <sheetViews>
    <sheetView workbookViewId="0">
      <selection activeCell="C4" sqref="C4"/>
    </sheetView>
  </sheetViews>
  <sheetFormatPr defaultRowHeight="14.4" x14ac:dyDescent="0.3"/>
  <cols>
    <col min="5" max="5" width="10" bestFit="1" customWidth="1"/>
    <col min="6" max="6" width="12.109375" bestFit="1" customWidth="1"/>
    <col min="7" max="7" width="6.77734375" bestFit="1" customWidth="1"/>
  </cols>
  <sheetData>
    <row r="4" spans="3:14" ht="15.6" x14ac:dyDescent="0.3">
      <c r="C4" s="33" t="s">
        <v>101</v>
      </c>
      <c r="D4" s="15" t="s">
        <v>31</v>
      </c>
      <c r="E4" s="15"/>
      <c r="F4" s="15"/>
      <c r="G4" s="15"/>
      <c r="H4" s="15"/>
      <c r="I4" s="15"/>
      <c r="J4" s="15"/>
      <c r="K4" s="15"/>
      <c r="L4" s="15"/>
      <c r="M4" s="16"/>
      <c r="N4" s="13"/>
    </row>
    <row r="5" spans="3:14" ht="15.6" x14ac:dyDescent="0.3">
      <c r="D5" s="15" t="s">
        <v>29</v>
      </c>
      <c r="E5" s="15"/>
      <c r="F5" s="15"/>
      <c r="G5" s="15"/>
      <c r="H5" s="15"/>
      <c r="I5" s="15"/>
      <c r="J5" s="15"/>
      <c r="K5" s="15"/>
      <c r="L5" s="15"/>
      <c r="M5" s="16"/>
      <c r="N5" s="13"/>
    </row>
    <row r="6" spans="3:14" ht="15.6" x14ac:dyDescent="0.3">
      <c r="D6" s="15" t="s">
        <v>30</v>
      </c>
      <c r="E6" s="15"/>
      <c r="F6" s="15"/>
      <c r="G6" s="15"/>
      <c r="H6" s="15"/>
      <c r="I6" s="15"/>
      <c r="J6" s="15"/>
      <c r="K6" s="15"/>
      <c r="L6" s="15"/>
      <c r="M6" s="16"/>
      <c r="N6" s="13"/>
    </row>
    <row r="7" spans="3:14" ht="15.6" x14ac:dyDescent="0.3">
      <c r="E7" s="12" t="s">
        <v>21</v>
      </c>
      <c r="F7" s="12" t="s">
        <v>22</v>
      </c>
      <c r="G7" s="12" t="s">
        <v>23</v>
      </c>
    </row>
    <row r="8" spans="3:14" x14ac:dyDescent="0.3">
      <c r="E8" s="1" t="s">
        <v>25</v>
      </c>
      <c r="F8" s="1" t="s">
        <v>28</v>
      </c>
      <c r="G8" s="1">
        <v>5000</v>
      </c>
    </row>
    <row r="9" spans="3:14" x14ac:dyDescent="0.3">
      <c r="E9" s="1" t="s">
        <v>24</v>
      </c>
      <c r="F9" s="1" t="s">
        <v>27</v>
      </c>
      <c r="G9" s="1">
        <v>4000</v>
      </c>
    </row>
    <row r="10" spans="3:14" x14ac:dyDescent="0.3">
      <c r="E10" s="1" t="s">
        <v>26</v>
      </c>
      <c r="F10" s="1" t="s">
        <v>27</v>
      </c>
      <c r="G10" s="1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D7F8-A621-4875-B50A-934673FC8C55}">
  <dimension ref="E2:O19"/>
  <sheetViews>
    <sheetView workbookViewId="0">
      <selection activeCell="E4" sqref="E4"/>
    </sheetView>
  </sheetViews>
  <sheetFormatPr defaultRowHeight="14.4" x14ac:dyDescent="0.3"/>
  <cols>
    <col min="7" max="7" width="11.21875" bestFit="1" customWidth="1"/>
    <col min="8" max="8" width="9.6640625" bestFit="1" customWidth="1"/>
  </cols>
  <sheetData>
    <row r="2" spans="5:15" ht="15.6" x14ac:dyDescent="0.3">
      <c r="F2" s="14" t="s">
        <v>44</v>
      </c>
      <c r="G2" s="14"/>
      <c r="H2" s="14"/>
      <c r="I2" s="14"/>
      <c r="J2" s="14"/>
      <c r="K2" s="14"/>
      <c r="L2" s="14"/>
      <c r="M2" s="14"/>
      <c r="N2" s="13"/>
      <c r="O2" s="13"/>
    </row>
    <row r="4" spans="5:15" ht="15.6" x14ac:dyDescent="0.3">
      <c r="E4" s="31" t="s">
        <v>101</v>
      </c>
      <c r="F4" s="2" t="s">
        <v>32</v>
      </c>
      <c r="G4" s="2"/>
      <c r="H4" s="2"/>
      <c r="I4" s="2"/>
      <c r="J4" s="2"/>
      <c r="K4" s="2"/>
      <c r="L4" s="2"/>
    </row>
    <row r="5" spans="5:15" ht="15.6" x14ac:dyDescent="0.3">
      <c r="F5" s="2"/>
      <c r="G5" s="2"/>
      <c r="H5" s="2"/>
      <c r="I5" s="2"/>
      <c r="J5" s="2"/>
      <c r="K5" s="2"/>
      <c r="L5" s="2"/>
    </row>
    <row r="6" spans="5:15" ht="15.6" x14ac:dyDescent="0.3">
      <c r="F6" s="2" t="s">
        <v>33</v>
      </c>
      <c r="G6" s="2"/>
      <c r="H6" s="2"/>
      <c r="I6" s="2"/>
      <c r="J6" s="2"/>
      <c r="K6" s="2"/>
      <c r="L6" s="2"/>
    </row>
    <row r="7" spans="5:15" ht="15.6" x14ac:dyDescent="0.3">
      <c r="F7" s="2"/>
      <c r="G7" s="2"/>
      <c r="H7" s="2"/>
      <c r="I7" s="2"/>
      <c r="J7" s="2"/>
      <c r="K7" s="2"/>
      <c r="L7" s="2"/>
    </row>
    <row r="8" spans="5:15" ht="15.6" x14ac:dyDescent="0.3">
      <c r="F8" s="2" t="s">
        <v>34</v>
      </c>
      <c r="G8" s="2"/>
      <c r="H8" s="2"/>
      <c r="I8" s="2"/>
      <c r="J8" s="2"/>
      <c r="K8" s="2"/>
      <c r="L8" s="2"/>
    </row>
    <row r="9" spans="5:15" ht="15.6" x14ac:dyDescent="0.3">
      <c r="F9" s="2"/>
      <c r="G9" s="2"/>
      <c r="H9" s="2"/>
      <c r="I9" s="2"/>
      <c r="J9" s="2"/>
      <c r="K9" s="2"/>
      <c r="L9" s="2"/>
    </row>
    <row r="10" spans="5:15" ht="15.6" x14ac:dyDescent="0.3">
      <c r="F10" s="2" t="s">
        <v>35</v>
      </c>
      <c r="G10" s="2"/>
      <c r="H10" s="2"/>
      <c r="I10" s="2"/>
      <c r="J10" s="2"/>
      <c r="K10" s="2"/>
      <c r="L10" s="2"/>
    </row>
    <row r="11" spans="5:15" ht="15.6" x14ac:dyDescent="0.3">
      <c r="F11" s="2"/>
      <c r="G11" s="2"/>
      <c r="H11" s="2"/>
      <c r="I11" s="2"/>
      <c r="J11" s="2"/>
      <c r="K11" s="2"/>
      <c r="L11" s="2"/>
    </row>
    <row r="12" spans="5:15" ht="15.6" x14ac:dyDescent="0.3">
      <c r="F12" s="2" t="s">
        <v>36</v>
      </c>
      <c r="G12" s="2"/>
      <c r="H12" s="2"/>
      <c r="I12" s="2"/>
      <c r="J12" s="2"/>
      <c r="K12" s="2"/>
      <c r="L12" s="2"/>
    </row>
    <row r="14" spans="5:15" ht="18" x14ac:dyDescent="0.35">
      <c r="G14" s="17" t="s">
        <v>37</v>
      </c>
      <c r="H14" s="17" t="s">
        <v>43</v>
      </c>
    </row>
    <row r="15" spans="5:15" ht="18" x14ac:dyDescent="0.35">
      <c r="G15" s="18" t="s">
        <v>38</v>
      </c>
      <c r="H15" s="18" t="str">
        <f>TRIM("Md Anas")</f>
        <v>Md Anas</v>
      </c>
    </row>
    <row r="16" spans="5:15" ht="18" x14ac:dyDescent="0.35">
      <c r="G16" s="18" t="s">
        <v>39</v>
      </c>
      <c r="H16" s="18" t="str">
        <f>LEFT("Md Anas",3)</f>
        <v xml:space="preserve">Md </v>
      </c>
    </row>
    <row r="17" spans="7:8" ht="18" x14ac:dyDescent="0.35">
      <c r="G17" s="18" t="s">
        <v>40</v>
      </c>
      <c r="H17" s="18" t="str">
        <f>RIGHT("Md Anas",3)</f>
        <v>nas</v>
      </c>
    </row>
    <row r="18" spans="7:8" ht="18" x14ac:dyDescent="0.35">
      <c r="G18" s="18" t="s">
        <v>41</v>
      </c>
      <c r="H18" s="18" t="str">
        <f>MID("Md Anas",3,4)</f>
        <v xml:space="preserve"> Ana</v>
      </c>
    </row>
    <row r="19" spans="7:8" ht="18" x14ac:dyDescent="0.35">
      <c r="G19" s="18" t="s">
        <v>42</v>
      </c>
      <c r="H19" s="18" t="str">
        <f>_xlfn.CONCAT("Md"," ","Anas")</f>
        <v>Md Anas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DE20-9A2A-4EC9-8D37-9F37340D9712}">
  <dimension ref="C3:Q7"/>
  <sheetViews>
    <sheetView workbookViewId="0">
      <selection activeCell="C5" sqref="C5"/>
    </sheetView>
  </sheetViews>
  <sheetFormatPr defaultRowHeight="14.4" x14ac:dyDescent="0.3"/>
  <sheetData>
    <row r="3" spans="3:17" ht="15.6" x14ac:dyDescent="0.3">
      <c r="D3" s="19" t="s">
        <v>45</v>
      </c>
      <c r="E3" s="19"/>
      <c r="F3" s="19"/>
      <c r="G3" s="19"/>
      <c r="H3" s="19"/>
      <c r="I3" s="19"/>
      <c r="J3" s="20"/>
    </row>
    <row r="5" spans="3:17" ht="15.6" x14ac:dyDescent="0.3">
      <c r="C5" s="32" t="s">
        <v>101</v>
      </c>
      <c r="D5" s="21" t="s">
        <v>46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  <c r="Q5" s="22"/>
    </row>
    <row r="6" spans="3:17" ht="15.6" x14ac:dyDescent="0.3">
      <c r="D6" s="21" t="s">
        <v>47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2"/>
      <c r="Q6" s="22"/>
    </row>
    <row r="7" spans="3:17" ht="15.6" x14ac:dyDescent="0.3">
      <c r="D7" s="21" t="s">
        <v>48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/>
      <c r="Q7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7535-BECF-4B97-AA5A-C08BF31B751A}">
  <dimension ref="B5:I25"/>
  <sheetViews>
    <sheetView topLeftCell="A4" workbookViewId="0">
      <selection activeCell="B5" sqref="B5"/>
    </sheetView>
  </sheetViews>
  <sheetFormatPr defaultRowHeight="14.4" x14ac:dyDescent="0.3"/>
  <cols>
    <col min="3" max="3" width="14.33203125" bestFit="1" customWidth="1"/>
    <col min="4" max="4" width="16.109375" bestFit="1" customWidth="1"/>
    <col min="5" max="5" width="14.33203125" bestFit="1" customWidth="1"/>
    <col min="6" max="6" width="11.109375" bestFit="1" customWidth="1"/>
    <col min="7" max="7" width="11.5546875" customWidth="1"/>
    <col min="8" max="8" width="12.88671875" bestFit="1" customWidth="1"/>
  </cols>
  <sheetData>
    <row r="5" spans="2:9" ht="15.6" x14ac:dyDescent="0.3">
      <c r="B5" s="1" t="s">
        <v>101</v>
      </c>
      <c r="C5" s="14" t="s">
        <v>73</v>
      </c>
      <c r="D5" s="14"/>
      <c r="E5" s="14"/>
      <c r="F5" s="14"/>
      <c r="G5" s="14"/>
      <c r="H5" s="14"/>
      <c r="I5" s="14"/>
    </row>
    <row r="6" spans="2:9" ht="15.6" x14ac:dyDescent="0.3">
      <c r="C6" s="14" t="s">
        <v>74</v>
      </c>
      <c r="D6" s="14"/>
      <c r="E6" s="14"/>
      <c r="F6" s="14"/>
      <c r="G6" s="14"/>
      <c r="H6" s="14"/>
      <c r="I6" s="14"/>
    </row>
    <row r="7" spans="2:9" ht="15.6" x14ac:dyDescent="0.3">
      <c r="C7" s="14" t="s">
        <v>75</v>
      </c>
      <c r="D7" s="14"/>
      <c r="E7" s="14"/>
      <c r="F7" s="14"/>
      <c r="G7" s="14"/>
      <c r="H7" s="14"/>
      <c r="I7" s="14"/>
    </row>
    <row r="8" spans="2:9" ht="15.6" x14ac:dyDescent="0.3">
      <c r="C8" s="14" t="s">
        <v>81</v>
      </c>
      <c r="D8" s="14"/>
      <c r="E8" s="14"/>
      <c r="F8" s="14"/>
      <c r="G8" s="14"/>
      <c r="H8" s="14"/>
      <c r="I8" s="14"/>
    </row>
    <row r="9" spans="2:9" ht="15.6" x14ac:dyDescent="0.3">
      <c r="C9" s="14" t="s">
        <v>76</v>
      </c>
      <c r="D9" s="14"/>
      <c r="E9" s="14"/>
      <c r="F9" s="14"/>
      <c r="G9" s="14"/>
      <c r="H9" s="14"/>
      <c r="I9" s="14"/>
    </row>
    <row r="10" spans="2:9" ht="15.6" x14ac:dyDescent="0.3">
      <c r="C10" s="14" t="s">
        <v>77</v>
      </c>
      <c r="D10" s="14"/>
      <c r="E10" s="14"/>
      <c r="F10" s="14"/>
      <c r="G10" s="14"/>
      <c r="H10" s="14"/>
      <c r="I10" s="14"/>
    </row>
    <row r="11" spans="2:9" ht="15.6" x14ac:dyDescent="0.3">
      <c r="C11" s="14"/>
      <c r="D11" s="14"/>
      <c r="E11" s="14"/>
      <c r="F11" s="14"/>
      <c r="G11" s="14"/>
      <c r="H11" s="14"/>
      <c r="I11" s="14"/>
    </row>
    <row r="12" spans="2:9" ht="15.6" x14ac:dyDescent="0.3">
      <c r="C12" s="14" t="s">
        <v>78</v>
      </c>
      <c r="D12" s="14"/>
      <c r="E12" s="14"/>
      <c r="F12" s="14"/>
      <c r="G12" s="14"/>
      <c r="H12" s="14"/>
      <c r="I12" s="14"/>
    </row>
    <row r="13" spans="2:9" ht="15.6" x14ac:dyDescent="0.3">
      <c r="C13" s="14" t="s">
        <v>79</v>
      </c>
      <c r="D13" s="14"/>
      <c r="E13" s="14"/>
      <c r="F13" s="14"/>
      <c r="G13" s="14"/>
      <c r="H13" s="14"/>
      <c r="I13" s="14"/>
    </row>
    <row r="14" spans="2:9" ht="15.6" x14ac:dyDescent="0.3">
      <c r="C14" s="14" t="s">
        <v>80</v>
      </c>
      <c r="D14" s="14"/>
      <c r="E14" s="14"/>
      <c r="F14" s="14"/>
      <c r="G14" s="14"/>
      <c r="H14" s="14"/>
      <c r="I14" s="14"/>
    </row>
    <row r="16" spans="2:9" ht="15.6" x14ac:dyDescent="0.3">
      <c r="D16" s="24" t="s">
        <v>58</v>
      </c>
      <c r="E16" s="24" t="s">
        <v>59</v>
      </c>
      <c r="F16" s="24" t="s">
        <v>67</v>
      </c>
      <c r="G16" s="24" t="s">
        <v>71</v>
      </c>
      <c r="H16" s="24" t="s">
        <v>72</v>
      </c>
    </row>
    <row r="17" spans="4:8" x14ac:dyDescent="0.3">
      <c r="D17" s="25" t="s">
        <v>49</v>
      </c>
      <c r="E17" s="25" t="s">
        <v>60</v>
      </c>
      <c r="F17" s="25" t="s">
        <v>68</v>
      </c>
      <c r="G17" s="25"/>
      <c r="H17" s="25">
        <v>81</v>
      </c>
    </row>
    <row r="18" spans="4:8" x14ac:dyDescent="0.3">
      <c r="D18" s="25" t="s">
        <v>50</v>
      </c>
      <c r="E18" s="25" t="s">
        <v>61</v>
      </c>
      <c r="F18" s="25" t="s">
        <v>68</v>
      </c>
      <c r="G18" s="25"/>
      <c r="H18" s="25">
        <v>121</v>
      </c>
    </row>
    <row r="19" spans="4:8" x14ac:dyDescent="0.3">
      <c r="D19" s="25" t="s">
        <v>51</v>
      </c>
      <c r="E19" s="25" t="s">
        <v>62</v>
      </c>
      <c r="F19" s="25" t="s">
        <v>69</v>
      </c>
      <c r="G19" s="25"/>
      <c r="H19" s="25">
        <v>239</v>
      </c>
    </row>
    <row r="20" spans="4:8" x14ac:dyDescent="0.3">
      <c r="D20" s="25" t="s">
        <v>52</v>
      </c>
      <c r="E20" s="25" t="s">
        <v>60</v>
      </c>
      <c r="F20" s="25" t="s">
        <v>68</v>
      </c>
      <c r="G20" s="25"/>
      <c r="H20" s="25">
        <v>500</v>
      </c>
    </row>
    <row r="21" spans="4:8" x14ac:dyDescent="0.3">
      <c r="D21" s="25" t="s">
        <v>53</v>
      </c>
      <c r="E21" s="25" t="s">
        <v>63</v>
      </c>
      <c r="F21" s="25" t="s">
        <v>70</v>
      </c>
      <c r="G21" s="25"/>
      <c r="H21" s="25">
        <v>423</v>
      </c>
    </row>
    <row r="22" spans="4:8" x14ac:dyDescent="0.3">
      <c r="D22" s="25" t="s">
        <v>54</v>
      </c>
      <c r="E22" s="25" t="s">
        <v>64</v>
      </c>
      <c r="F22" s="25" t="s">
        <v>68</v>
      </c>
      <c r="G22" s="25"/>
      <c r="H22" s="25">
        <v>160</v>
      </c>
    </row>
    <row r="23" spans="4:8" x14ac:dyDescent="0.3">
      <c r="D23" s="25" t="s">
        <v>55</v>
      </c>
      <c r="E23" s="25" t="s">
        <v>65</v>
      </c>
      <c r="F23" s="25" t="s">
        <v>68</v>
      </c>
      <c r="G23" s="25"/>
      <c r="H23" s="25">
        <v>348</v>
      </c>
    </row>
    <row r="24" spans="4:8" x14ac:dyDescent="0.3">
      <c r="D24" s="25" t="s">
        <v>56</v>
      </c>
      <c r="E24" s="25" t="s">
        <v>65</v>
      </c>
      <c r="F24" s="25" t="s">
        <v>68</v>
      </c>
      <c r="G24" s="25"/>
      <c r="H24" s="25">
        <v>152</v>
      </c>
    </row>
    <row r="25" spans="4:8" x14ac:dyDescent="0.3">
      <c r="D25" s="25" t="s">
        <v>57</v>
      </c>
      <c r="E25" s="25" t="s">
        <v>66</v>
      </c>
      <c r="F25" s="25" t="s">
        <v>70</v>
      </c>
      <c r="G25" s="25"/>
      <c r="H25" s="25">
        <v>369</v>
      </c>
    </row>
  </sheetData>
  <dataConsolidate/>
  <dataValidations count="1">
    <dataValidation type="whole" allowBlank="1" showInputMessage="1" showErrorMessage="1" error="&quot;Invalid Input! The quantity must be a whole number between 1 and 10&quot;" prompt="&quot;Please enter a whole number between 1 and 10.&quot;" sqref="G17:G25" xr:uid="{A75433CE-3E22-438E-ABDA-BA3C81766F9F}">
      <formula1>1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5CE1-6B5E-4DE7-8A9B-97D224445B42}">
  <dimension ref="A3:L15"/>
  <sheetViews>
    <sheetView workbookViewId="0">
      <selection activeCell="L11" sqref="L11"/>
    </sheetView>
  </sheetViews>
  <sheetFormatPr defaultRowHeight="14.4" x14ac:dyDescent="0.3"/>
  <sheetData>
    <row r="3" spans="1:12" ht="15.6" x14ac:dyDescent="0.3">
      <c r="B3" s="9" t="s">
        <v>82</v>
      </c>
      <c r="C3" s="9"/>
      <c r="D3" s="9"/>
      <c r="E3" s="9"/>
      <c r="F3" s="9"/>
      <c r="G3" s="9"/>
      <c r="H3" s="9"/>
      <c r="I3" s="9"/>
      <c r="J3" s="4"/>
      <c r="K3" s="4"/>
    </row>
    <row r="4" spans="1:12" ht="15.6" x14ac:dyDescent="0.3">
      <c r="B4" s="9" t="s">
        <v>83</v>
      </c>
      <c r="C4" s="9"/>
      <c r="D4" s="9"/>
      <c r="E4" s="9"/>
      <c r="F4" s="9"/>
      <c r="G4" s="9"/>
      <c r="H4" s="9"/>
      <c r="I4" s="9"/>
      <c r="J4" s="4"/>
      <c r="K4" s="4"/>
    </row>
    <row r="5" spans="1:12" ht="15.6" x14ac:dyDescent="0.3">
      <c r="B5" s="9" t="s">
        <v>84</v>
      </c>
      <c r="C5" s="9"/>
      <c r="D5" s="9"/>
      <c r="E5" s="9"/>
      <c r="F5" s="9"/>
      <c r="G5" s="9"/>
      <c r="H5" s="9"/>
      <c r="I5" s="9"/>
      <c r="J5" s="4"/>
      <c r="K5" s="4"/>
    </row>
    <row r="6" spans="1:12" ht="15.6" x14ac:dyDescent="0.3">
      <c r="B6" s="9" t="s">
        <v>85</v>
      </c>
      <c r="C6" s="9"/>
      <c r="D6" s="9"/>
      <c r="E6" s="9"/>
      <c r="F6" s="9"/>
      <c r="G6" s="9"/>
      <c r="H6" s="9"/>
      <c r="I6" s="9"/>
      <c r="J6" s="4"/>
      <c r="K6" s="4"/>
    </row>
    <row r="7" spans="1:12" ht="15.6" x14ac:dyDescent="0.3">
      <c r="B7" s="9" t="s">
        <v>86</v>
      </c>
      <c r="C7" s="9"/>
      <c r="D7" s="9"/>
      <c r="E7" s="9"/>
      <c r="F7" s="9"/>
      <c r="G7" s="9"/>
      <c r="H7" s="9"/>
      <c r="I7" s="9"/>
      <c r="J7" s="4"/>
      <c r="K7" s="4"/>
    </row>
    <row r="8" spans="1:12" ht="15.6" x14ac:dyDescent="0.3">
      <c r="B8" s="9" t="s">
        <v>86</v>
      </c>
      <c r="C8" s="9"/>
      <c r="D8" s="9"/>
      <c r="E8" s="9"/>
      <c r="F8" s="9"/>
      <c r="G8" s="9"/>
      <c r="H8" s="9"/>
      <c r="I8" s="9"/>
      <c r="J8" s="4"/>
      <c r="K8" s="4"/>
    </row>
    <row r="9" spans="1:12" ht="15.6" x14ac:dyDescent="0.3">
      <c r="B9" s="10"/>
      <c r="C9" s="10"/>
      <c r="D9" s="10"/>
      <c r="E9" s="10"/>
      <c r="F9" s="10"/>
      <c r="G9" s="10"/>
      <c r="H9" s="10"/>
      <c r="I9" s="10"/>
    </row>
    <row r="10" spans="1:12" ht="15.6" x14ac:dyDescent="0.3">
      <c r="A10" s="31" t="s">
        <v>94</v>
      </c>
      <c r="B10" s="26"/>
      <c r="C10" s="26"/>
      <c r="D10" s="26"/>
      <c r="E10" s="26" t="s">
        <v>92</v>
      </c>
      <c r="F10" s="26"/>
      <c r="G10" s="26"/>
      <c r="H10" s="26"/>
      <c r="I10" s="26"/>
      <c r="J10" s="25"/>
      <c r="K10" s="25"/>
      <c r="L10" s="27" t="s">
        <v>93</v>
      </c>
    </row>
    <row r="11" spans="1:12" ht="15.6" x14ac:dyDescent="0.3">
      <c r="B11" s="28" t="s">
        <v>87</v>
      </c>
      <c r="C11" s="28"/>
      <c r="D11" s="28"/>
      <c r="E11" s="28"/>
      <c r="F11" s="28"/>
      <c r="G11" s="28"/>
      <c r="H11" s="28"/>
      <c r="I11" s="28"/>
      <c r="J11" s="29"/>
      <c r="K11" s="29"/>
      <c r="L11" s="30" t="str">
        <f>LEFT("ExcelTipsAreGreat",5)</f>
        <v>Excel</v>
      </c>
    </row>
    <row r="12" spans="1:12" ht="15.6" x14ac:dyDescent="0.3">
      <c r="B12" s="28" t="s">
        <v>88</v>
      </c>
      <c r="C12" s="28"/>
      <c r="D12" s="28"/>
      <c r="E12" s="28"/>
      <c r="F12" s="28"/>
      <c r="G12" s="28"/>
      <c r="H12" s="28"/>
      <c r="I12" s="28"/>
      <c r="J12" s="29"/>
      <c r="K12" s="29"/>
      <c r="L12" s="30" t="str">
        <f>RIGHT("DataAnalysis.xlsx",4)</f>
        <v>xlsx</v>
      </c>
    </row>
    <row r="13" spans="1:12" ht="15.6" x14ac:dyDescent="0.3">
      <c r="B13" s="28" t="s">
        <v>89</v>
      </c>
      <c r="C13" s="28"/>
      <c r="D13" s="28"/>
      <c r="E13" s="28"/>
      <c r="F13" s="28"/>
      <c r="G13" s="28"/>
      <c r="H13" s="28"/>
      <c r="I13" s="28"/>
      <c r="J13" s="29"/>
      <c r="K13" s="29"/>
      <c r="L13" s="30" t="str">
        <f>MID("ExcelTipsAreGreat",6,4)</f>
        <v>Tips</v>
      </c>
    </row>
    <row r="14" spans="1:12" ht="15.6" x14ac:dyDescent="0.3">
      <c r="B14" s="28" t="s">
        <v>90</v>
      </c>
      <c r="C14" s="28"/>
      <c r="D14" s="28"/>
      <c r="E14" s="28"/>
      <c r="F14" s="28"/>
      <c r="G14" s="28"/>
      <c r="H14" s="28"/>
      <c r="I14" s="28"/>
      <c r="J14" s="29"/>
      <c r="K14" s="29"/>
      <c r="L14" s="30">
        <f>LEN("Hello World!")</f>
        <v>12</v>
      </c>
    </row>
    <row r="15" spans="1:12" ht="15.6" x14ac:dyDescent="0.3">
      <c r="B15" s="28" t="s">
        <v>91</v>
      </c>
      <c r="C15" s="28"/>
      <c r="D15" s="28"/>
      <c r="E15" s="28"/>
      <c r="F15" s="28"/>
      <c r="G15" s="28"/>
      <c r="H15" s="28"/>
      <c r="I15" s="28"/>
      <c r="J15" s="29"/>
      <c r="K15" s="29"/>
      <c r="L15" s="30" t="str">
        <f>MID( "12345-67890-ABCDE",5,6)</f>
        <v>5-6789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5E0B-09FD-4E3D-B773-2F3DB5DECDF8}">
  <dimension ref="A1:Q17"/>
  <sheetViews>
    <sheetView topLeftCell="B1" workbookViewId="0">
      <selection activeCell="D4" sqref="D4"/>
    </sheetView>
  </sheetViews>
  <sheetFormatPr defaultRowHeight="14.4" x14ac:dyDescent="0.3"/>
  <cols>
    <col min="1" max="1" width="11" bestFit="1" customWidth="1"/>
    <col min="2" max="2" width="10.6640625" bestFit="1" customWidth="1"/>
    <col min="3" max="3" width="12.44140625" bestFit="1" customWidth="1"/>
  </cols>
  <sheetData>
    <row r="1" spans="1:17" ht="15.6" x14ac:dyDescent="0.3">
      <c r="A1" s="35" t="s">
        <v>102</v>
      </c>
      <c r="B1" s="35" t="s">
        <v>103</v>
      </c>
      <c r="C1" s="35" t="s">
        <v>104</v>
      </c>
    </row>
    <row r="2" spans="1:17" x14ac:dyDescent="0.3">
      <c r="A2" s="36" t="s">
        <v>105</v>
      </c>
      <c r="B2" s="36" t="s">
        <v>106</v>
      </c>
      <c r="C2" s="36" t="str">
        <f>A2&amp;" "&amp;B2</f>
        <v>Md  Anas</v>
      </c>
    </row>
    <row r="3" spans="1:17" x14ac:dyDescent="0.3">
      <c r="A3" s="36" t="s">
        <v>107</v>
      </c>
      <c r="B3" s="36" t="s">
        <v>108</v>
      </c>
      <c r="C3" s="36" t="str">
        <f t="shared" ref="C3:C6" si="0">A3&amp;" "&amp;B3</f>
        <v>Virat Kohli</v>
      </c>
    </row>
    <row r="4" spans="1:17" x14ac:dyDescent="0.3">
      <c r="A4" s="36" t="s">
        <v>109</v>
      </c>
      <c r="B4" s="36" t="s">
        <v>110</v>
      </c>
      <c r="C4" s="36" t="str">
        <f t="shared" si="0"/>
        <v>Shoaib Ahmad</v>
      </c>
      <c r="E4" s="22" t="s">
        <v>95</v>
      </c>
      <c r="F4" s="22"/>
      <c r="G4" s="22"/>
      <c r="H4" s="22"/>
      <c r="I4" s="22"/>
      <c r="J4" s="22"/>
      <c r="K4" s="22"/>
      <c r="L4" s="22"/>
      <c r="M4" s="22"/>
      <c r="N4" s="22"/>
    </row>
    <row r="5" spans="1:17" x14ac:dyDescent="0.3">
      <c r="A5" s="36" t="s">
        <v>111</v>
      </c>
      <c r="B5" s="36" t="s">
        <v>112</v>
      </c>
      <c r="C5" s="36" t="str">
        <f t="shared" si="0"/>
        <v>Ankit Kumar</v>
      </c>
      <c r="E5" s="22" t="s">
        <v>96</v>
      </c>
      <c r="F5" s="22"/>
      <c r="G5" s="22"/>
      <c r="H5" s="22"/>
      <c r="I5" s="22"/>
      <c r="J5" s="22"/>
      <c r="K5" s="22"/>
      <c r="L5" s="22"/>
      <c r="M5" s="22"/>
      <c r="N5" s="22"/>
    </row>
    <row r="6" spans="1:17" x14ac:dyDescent="0.3">
      <c r="A6" s="36" t="s">
        <v>113</v>
      </c>
      <c r="B6" s="36" t="s">
        <v>114</v>
      </c>
      <c r="C6" s="36" t="str">
        <f t="shared" si="0"/>
        <v>Faizan Alam</v>
      </c>
      <c r="E6" s="22" t="s">
        <v>97</v>
      </c>
      <c r="F6" s="22"/>
      <c r="G6" s="22"/>
      <c r="H6" s="22"/>
      <c r="I6" s="22"/>
      <c r="J6" s="22"/>
      <c r="K6" s="22"/>
      <c r="L6" s="22"/>
      <c r="M6" s="22"/>
      <c r="N6" s="22"/>
    </row>
    <row r="7" spans="1:17" x14ac:dyDescent="0.3">
      <c r="E7" s="22" t="s">
        <v>98</v>
      </c>
      <c r="F7" s="22"/>
      <c r="G7" s="22"/>
      <c r="H7" s="22"/>
      <c r="I7" s="22"/>
      <c r="J7" s="22"/>
      <c r="K7" s="22"/>
      <c r="L7" s="22"/>
      <c r="M7" s="22"/>
      <c r="N7" s="22"/>
    </row>
    <row r="8" spans="1:17" x14ac:dyDescent="0.3">
      <c r="E8" s="22" t="s">
        <v>99</v>
      </c>
      <c r="F8" s="22"/>
      <c r="G8" s="22"/>
      <c r="H8" s="22"/>
      <c r="I8" s="22"/>
      <c r="J8" s="22"/>
      <c r="K8" s="22"/>
      <c r="L8" s="22"/>
      <c r="M8" s="22"/>
      <c r="N8" s="22"/>
    </row>
    <row r="9" spans="1:17" x14ac:dyDescent="0.3">
      <c r="E9" s="22" t="s">
        <v>100</v>
      </c>
      <c r="F9" s="22"/>
      <c r="G9" s="22"/>
      <c r="H9" s="22"/>
      <c r="I9" s="22"/>
      <c r="J9" s="22"/>
      <c r="K9" s="22"/>
      <c r="L9" s="22"/>
      <c r="M9" s="22"/>
      <c r="N9" s="22"/>
    </row>
    <row r="12" spans="1:17" x14ac:dyDescent="0.3">
      <c r="D12" s="8" t="s">
        <v>101</v>
      </c>
      <c r="E12" s="11" t="s">
        <v>96</v>
      </c>
      <c r="F12" s="11"/>
      <c r="G12" s="11"/>
      <c r="H12" s="11"/>
      <c r="I12" s="11"/>
      <c r="J12" s="11"/>
      <c r="K12" s="11"/>
      <c r="L12" s="11"/>
      <c r="M12" s="11"/>
      <c r="N12" s="11"/>
      <c r="O12" s="34" t="str">
        <f>_xlfn.CONCAT("Hello"," ","World")</f>
        <v>Hello World</v>
      </c>
      <c r="P12" s="34"/>
      <c r="Q12" s="34"/>
    </row>
    <row r="13" spans="1:17" x14ac:dyDescent="0.3">
      <c r="E13" s="11" t="s">
        <v>97</v>
      </c>
      <c r="F13" s="11"/>
      <c r="G13" s="11"/>
      <c r="H13" s="11"/>
      <c r="I13" s="11"/>
      <c r="J13" s="11"/>
      <c r="K13" s="11"/>
      <c r="L13" s="11"/>
      <c r="M13" s="11"/>
      <c r="N13" s="11"/>
      <c r="O13" s="34" t="str">
        <f>_xlfn.TEXTJOIN(",",TRUE,"Apple","Banana","Cherry")</f>
        <v>Apple,Banana,Cherry</v>
      </c>
      <c r="P13" s="34"/>
      <c r="Q13" s="34"/>
    </row>
    <row r="14" spans="1:17" x14ac:dyDescent="0.3">
      <c r="E14" s="11" t="s">
        <v>98</v>
      </c>
      <c r="F14" s="11"/>
      <c r="G14" s="11"/>
      <c r="H14" s="11"/>
      <c r="I14" s="11"/>
      <c r="J14" s="11"/>
      <c r="K14" s="11"/>
      <c r="L14" s="11"/>
      <c r="M14" s="11"/>
      <c r="N14" s="11"/>
      <c r="O14" s="34" t="str">
        <f>"2025"&amp;" - ""Excel Functions"</f>
        <v>2025 - "Excel Functions</v>
      </c>
      <c r="P14" s="34"/>
      <c r="Q14" s="34"/>
    </row>
    <row r="15" spans="1:17" x14ac:dyDescent="0.3">
      <c r="E15" s="11" t="s">
        <v>99</v>
      </c>
      <c r="F15" s="11"/>
      <c r="G15" s="11"/>
      <c r="H15" s="11"/>
      <c r="I15" s="11"/>
      <c r="J15" s="11"/>
      <c r="K15" s="11"/>
      <c r="L15" s="11"/>
      <c r="M15" s="11"/>
      <c r="N15" s="11"/>
      <c r="O15" s="34" t="str">
        <f>_xlfn.TEXTJOIN(", ", TRUE, A2:A6)</f>
        <v>Md , Virat, Shoaib, Ankit, Faizan</v>
      </c>
      <c r="P15" s="34"/>
      <c r="Q15" s="34"/>
    </row>
    <row r="16" spans="1:17" x14ac:dyDescent="0.3">
      <c r="E16" s="11" t="s">
        <v>100</v>
      </c>
      <c r="F16" s="11"/>
      <c r="G16" s="11"/>
      <c r="H16" s="11"/>
      <c r="I16" s="11"/>
      <c r="J16" s="11"/>
      <c r="K16" s="11"/>
      <c r="L16" s="11"/>
      <c r="M16" s="11"/>
      <c r="N16" s="11"/>
      <c r="O16" s="34"/>
      <c r="P16" s="34"/>
      <c r="Q16" s="34"/>
    </row>
    <row r="17" spans="5:17" x14ac:dyDescent="0.3"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34"/>
      <c r="P17" s="34"/>
      <c r="Q17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2A27-00E8-42E8-8482-72697DA1372C}">
  <dimension ref="A1:P15"/>
  <sheetViews>
    <sheetView tabSelected="1" workbookViewId="0">
      <selection activeCell="A8" sqref="A8"/>
    </sheetView>
  </sheetViews>
  <sheetFormatPr defaultRowHeight="14.4" x14ac:dyDescent="0.3"/>
  <cols>
    <col min="1" max="1" width="10.33203125" bestFit="1" customWidth="1"/>
    <col min="4" max="4" width="20.109375" bestFit="1" customWidth="1"/>
  </cols>
  <sheetData>
    <row r="1" spans="1:16" ht="15.6" x14ac:dyDescent="0.3">
      <c r="A1" s="43">
        <v>45818</v>
      </c>
    </row>
    <row r="3" spans="1:16" ht="15.6" x14ac:dyDescent="0.3">
      <c r="C3" s="23" t="s">
        <v>115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2"/>
      <c r="O3" s="22"/>
    </row>
    <row r="4" spans="1:16" ht="15.6" x14ac:dyDescent="0.3">
      <c r="C4" s="23" t="s">
        <v>117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2"/>
      <c r="O4" s="22"/>
    </row>
    <row r="5" spans="1:16" ht="18" x14ac:dyDescent="0.35">
      <c r="C5" s="40" t="s">
        <v>123</v>
      </c>
      <c r="D5" s="38" t="s">
        <v>121</v>
      </c>
      <c r="E5" s="38"/>
      <c r="F5" s="38"/>
      <c r="G5" s="38"/>
      <c r="H5" s="38"/>
      <c r="I5" s="38"/>
      <c r="J5" s="38"/>
      <c r="K5" s="11"/>
      <c r="L5" s="11"/>
    </row>
    <row r="6" spans="1:16" ht="18" x14ac:dyDescent="0.35">
      <c r="D6" s="38" t="s">
        <v>122</v>
      </c>
      <c r="E6" s="38"/>
      <c r="F6" s="38"/>
      <c r="G6" s="38"/>
      <c r="H6" s="38"/>
      <c r="I6" s="38"/>
      <c r="J6" s="38"/>
      <c r="K6" s="11"/>
      <c r="L6" s="11"/>
    </row>
    <row r="7" spans="1:16" ht="15.6" x14ac:dyDescent="0.3">
      <c r="C7" s="23" t="s">
        <v>118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2"/>
      <c r="O7" s="22"/>
    </row>
    <row r="8" spans="1:16" ht="15.6" x14ac:dyDescent="0.3">
      <c r="C8" s="40" t="s">
        <v>123</v>
      </c>
      <c r="D8" s="39">
        <f ca="1" xml:space="preserve"> A1 - TODAY()</f>
        <v>-185</v>
      </c>
    </row>
    <row r="9" spans="1:16" ht="15.6" x14ac:dyDescent="0.3">
      <c r="C9" s="23" t="s">
        <v>119</v>
      </c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6" ht="15.6" x14ac:dyDescent="0.3">
      <c r="C10" s="37" t="s">
        <v>123</v>
      </c>
      <c r="D10" s="41">
        <f ca="1">NOW()</f>
        <v>46003.061314930557</v>
      </c>
    </row>
    <row r="11" spans="1:16" ht="15.6" x14ac:dyDescent="0.3">
      <c r="C11" s="23" t="s">
        <v>116</v>
      </c>
      <c r="D11" s="22"/>
      <c r="E11" s="22"/>
      <c r="F11" s="22"/>
      <c r="G11" s="22"/>
      <c r="H11" s="22"/>
      <c r="I11" s="22"/>
      <c r="J11" s="22"/>
      <c r="K11" s="22"/>
      <c r="L11" s="22"/>
    </row>
    <row r="12" spans="1:16" ht="15.6" x14ac:dyDescent="0.3">
      <c r="C12" s="40" t="s">
        <v>123</v>
      </c>
      <c r="D12" s="19" t="s">
        <v>124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15.6" x14ac:dyDescent="0.3">
      <c r="C13" s="23" t="s">
        <v>120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1:16" ht="15.6" x14ac:dyDescent="0.3">
      <c r="C14" s="37" t="s">
        <v>123</v>
      </c>
      <c r="D14" s="42">
        <v>46003</v>
      </c>
      <c r="E14" s="10"/>
      <c r="F14" s="10"/>
      <c r="G14" s="10"/>
      <c r="H14" s="10"/>
      <c r="I14" s="10"/>
      <c r="J14" s="10"/>
      <c r="K14" s="10"/>
      <c r="L14" s="10"/>
      <c r="M14" s="10"/>
    </row>
    <row r="15" spans="1:16" ht="15.6" x14ac:dyDescent="0.3">
      <c r="D15" s="10"/>
      <c r="E15" s="10"/>
      <c r="F15" s="10"/>
      <c r="G15" s="10"/>
      <c r="H15" s="10"/>
      <c r="I15" s="10"/>
      <c r="J15" s="10"/>
      <c r="K15" s="10"/>
      <c r="L15" s="10"/>
      <c r="M1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Anwar</dc:creator>
  <cp:lastModifiedBy>Anas Anwar</cp:lastModifiedBy>
  <dcterms:created xsi:type="dcterms:W3CDTF">2025-12-11T13:41:30Z</dcterms:created>
  <dcterms:modified xsi:type="dcterms:W3CDTF">2025-12-11T19:58:56Z</dcterms:modified>
</cp:coreProperties>
</file>