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s\OneDrive\Documents\"/>
    </mc:Choice>
  </mc:AlternateContent>
  <xr:revisionPtr revIDLastSave="0" documentId="8_{79E057FB-982F-4077-81E3-C3A9C5833B1B}" xr6:coauthVersionLast="47" xr6:coauthVersionMax="47" xr10:uidLastSave="{00000000-0000-0000-0000-000000000000}"/>
  <bookViews>
    <workbookView xWindow="-108" yWindow="-108" windowWidth="23256" windowHeight="12456" activeTab="7" xr2:uid="{A481F196-F25A-461F-A301-7DE732974A19}"/>
  </bookViews>
  <sheets>
    <sheet name="Sheet1" sheetId="1" r:id="rId1"/>
    <sheet name="Sheet2" sheetId="2" r:id="rId2"/>
    <sheet name="Sheet4" sheetId="4" r:id="rId3"/>
    <sheet name="Sheet5" sheetId="5" r:id="rId4"/>
    <sheet name="Sheet6" sheetId="6" r:id="rId5"/>
    <sheet name="Sheet7" sheetId="7" r:id="rId6"/>
    <sheet name="Sheet8" sheetId="8" r:id="rId7"/>
    <sheet name="Sheet9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9" l="1"/>
  <c r="G5" i="8"/>
  <c r="D3" i="7"/>
  <c r="D4" i="7"/>
  <c r="D2" i="7"/>
  <c r="L4" i="6"/>
  <c r="K4" i="6"/>
  <c r="F3" i="5"/>
  <c r="C3" i="4"/>
  <c r="C4" i="4"/>
  <c r="C5" i="4"/>
  <c r="C6" i="4"/>
  <c r="C2" i="4"/>
  <c r="C3" i="1"/>
  <c r="C4" i="1"/>
  <c r="C5" i="1"/>
  <c r="C6" i="1"/>
  <c r="C2" i="1"/>
  <c r="D3" i="2"/>
  <c r="D4" i="2"/>
  <c r="D5" i="2"/>
  <c r="D2" i="2"/>
</calcChain>
</file>

<file path=xl/sharedStrings.xml><?xml version="1.0" encoding="utf-8"?>
<sst xmlns="http://schemas.openxmlformats.org/spreadsheetml/2006/main" count="75" uniqueCount="58">
  <si>
    <t>Write a formula to check if the marks in cell B2 are greater than or equal to 40. If yes, return "Pass", otherwise "Fail".</t>
  </si>
  <si>
    <t xml:space="preserve">Student Name </t>
  </si>
  <si>
    <t>Marks</t>
  </si>
  <si>
    <t>Riya</t>
  </si>
  <si>
    <t>Siya</t>
  </si>
  <si>
    <t>Raju</t>
  </si>
  <si>
    <t>Rahul</t>
  </si>
  <si>
    <t>Ram</t>
  </si>
  <si>
    <t>Employee</t>
  </si>
  <si>
    <t>Sales</t>
  </si>
  <si>
    <t>Attendance</t>
  </si>
  <si>
    <t>Arjun</t>
  </si>
  <si>
    <t>Simran</t>
  </si>
  <si>
    <t>Rohit</t>
  </si>
  <si>
    <t>Anjali</t>
  </si>
  <si>
    <t>Eligibility for Bonus</t>
  </si>
  <si>
    <t>Results</t>
  </si>
  <si>
    <t>Raj</t>
  </si>
  <si>
    <t>Neha</t>
  </si>
  <si>
    <t>Vivek</t>
  </si>
  <si>
    <t>Rani</t>
  </si>
  <si>
    <t>Sneha</t>
  </si>
  <si>
    <t>Student Name</t>
  </si>
  <si>
    <t>Grades</t>
  </si>
  <si>
    <t>EmpID</t>
  </si>
  <si>
    <t>Name</t>
  </si>
  <si>
    <t>E101</t>
  </si>
  <si>
    <t>E102</t>
  </si>
  <si>
    <t>E103</t>
  </si>
  <si>
    <t>Roshni</t>
  </si>
  <si>
    <t>E104</t>
  </si>
  <si>
    <t>Sejal</t>
  </si>
  <si>
    <t>Department</t>
  </si>
  <si>
    <t>IT</t>
  </si>
  <si>
    <t>HR</t>
  </si>
  <si>
    <t>Finance</t>
  </si>
  <si>
    <t>VLOOKUP</t>
  </si>
  <si>
    <t>VLOOKUP is the correct function because  it can look up an Empolyee ID and return the corresponding Department from the same row</t>
  </si>
  <si>
    <t>Sales Amount</t>
  </si>
  <si>
    <t>Commission Rate</t>
  </si>
  <si>
    <t>Particulars</t>
  </si>
  <si>
    <t>Commission</t>
  </si>
  <si>
    <t>If a salesperson achieves sales of ₹45,000</t>
  </si>
  <si>
    <t>Employee Name</t>
  </si>
  <si>
    <t>Leave Taken</t>
  </si>
  <si>
    <t>Leave Allowed</t>
  </si>
  <si>
    <t>Alex</t>
  </si>
  <si>
    <t>Bob</t>
  </si>
  <si>
    <t>Anna</t>
  </si>
  <si>
    <t>Leave Balance</t>
  </si>
  <si>
    <t>Salary</t>
  </si>
  <si>
    <t>E105</t>
  </si>
  <si>
    <t>E106</t>
  </si>
  <si>
    <t>Particular</t>
  </si>
  <si>
    <t>INDEX-MATCH Function</t>
  </si>
  <si>
    <t>E303</t>
  </si>
  <si>
    <t>E301</t>
  </si>
  <si>
    <t>XLOOKUP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</si>
</sst>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2" fillId="4" borderId="0" xfId="0" applyFont="1" applyFill="1"/>
    <xf numFmtId="0" fontId="2" fillId="4" borderId="2" xfId="0" applyFont="1" applyFill="1" applyBorder="1"/>
    <xf numFmtId="0" fontId="0" fillId="0" borderId="2" xfId="0" applyBorder="1"/>
    <xf numFmtId="0" fontId="2" fillId="3" borderId="2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0" fillId="4" borderId="0" xfId="0" applyFill="1"/>
    <xf numFmtId="0" fontId="0" fillId="5" borderId="0" xfId="0" applyFill="1"/>
    <xf numFmtId="0" fontId="3" fillId="5" borderId="0" xfId="0" applyFont="1" applyFill="1"/>
    <xf numFmtId="0" fontId="2" fillId="5" borderId="0" xfId="0" applyFont="1" applyFill="1"/>
    <xf numFmtId="0" fontId="3" fillId="6" borderId="0" xfId="0" applyFont="1" applyFill="1"/>
    <xf numFmtId="0" fontId="2" fillId="2" borderId="1" xfId="0" applyFont="1" applyFill="1" applyBorder="1" applyAlignment="1">
      <alignment horizontal="center"/>
    </xf>
    <xf numFmtId="9" fontId="0" fillId="0" borderId="8" xfId="1" applyFont="1" applyBorder="1" applyAlignment="1">
      <alignment horizontal="center"/>
    </xf>
    <xf numFmtId="9" fontId="0" fillId="0" borderId="9" xfId="1" applyFont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2" xfId="0" applyFont="1" applyFill="1" applyBorder="1"/>
    <xf numFmtId="0" fontId="0" fillId="0" borderId="2" xfId="0" applyFont="1" applyBorder="1"/>
    <xf numFmtId="9" fontId="1" fillId="0" borderId="2" xfId="1" applyFont="1" applyBorder="1"/>
    <xf numFmtId="0" fontId="2" fillId="2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0" fillId="10" borderId="0" xfId="0" applyFill="1"/>
    <xf numFmtId="0" fontId="3" fillId="2" borderId="6" xfId="0" applyFont="1" applyFill="1" applyBorder="1"/>
    <xf numFmtId="0" fontId="3" fillId="2" borderId="1" xfId="0" applyFont="1" applyFill="1" applyBorder="1"/>
    <xf numFmtId="0" fontId="3" fillId="0" borderId="3" xfId="0" applyFont="1" applyBorder="1"/>
    <xf numFmtId="0" fontId="3" fillId="0" borderId="8" xfId="0" applyFont="1" applyBorder="1"/>
    <xf numFmtId="0" fontId="3" fillId="0" borderId="4" xfId="0" applyFont="1" applyBorder="1"/>
    <xf numFmtId="0" fontId="3" fillId="0" borderId="9" xfId="0" applyFont="1" applyBorder="1"/>
    <xf numFmtId="0" fontId="2" fillId="10" borderId="2" xfId="0" applyFont="1" applyFill="1" applyBorder="1" applyAlignment="1">
      <alignment horizontal="center"/>
    </xf>
    <xf numFmtId="0" fontId="2" fillId="9" borderId="2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223F1-F9A1-4AEE-958D-E69352C991C1}">
  <dimension ref="A1:E6"/>
  <sheetViews>
    <sheetView workbookViewId="0">
      <selection sqref="A1:C6"/>
    </sheetView>
  </sheetViews>
  <sheetFormatPr defaultRowHeight="14.4" x14ac:dyDescent="0.3"/>
  <cols>
    <col min="1" max="1" width="13.33203125" bestFit="1" customWidth="1"/>
    <col min="2" max="2" width="6" bestFit="1" customWidth="1"/>
    <col min="3" max="3" width="7.109375" bestFit="1" customWidth="1"/>
    <col min="6" max="6" width="12.77734375" customWidth="1"/>
  </cols>
  <sheetData>
    <row r="1" spans="1:5" x14ac:dyDescent="0.3">
      <c r="A1" s="2" t="s">
        <v>1</v>
      </c>
      <c r="B1" s="2" t="s">
        <v>2</v>
      </c>
      <c r="C1" s="2" t="s">
        <v>16</v>
      </c>
    </row>
    <row r="2" spans="1:5" x14ac:dyDescent="0.3">
      <c r="A2" s="3" t="s">
        <v>3</v>
      </c>
      <c r="B2" s="3">
        <v>45</v>
      </c>
      <c r="C2" s="3" t="str">
        <f>IF($B2&gt;=40,"Pass","Fail")</f>
        <v>Pass</v>
      </c>
    </row>
    <row r="3" spans="1:5" x14ac:dyDescent="0.3">
      <c r="A3" s="3" t="s">
        <v>4</v>
      </c>
      <c r="B3" s="3">
        <v>72</v>
      </c>
      <c r="C3" s="3" t="str">
        <f t="shared" ref="C3:C6" si="0">IF($B3&gt;=40,"Pass","Fail")</f>
        <v>Pass</v>
      </c>
    </row>
    <row r="4" spans="1:5" x14ac:dyDescent="0.3">
      <c r="A4" s="3" t="s">
        <v>5</v>
      </c>
      <c r="B4" s="3">
        <v>55</v>
      </c>
      <c r="C4" s="3" t="str">
        <f t="shared" si="0"/>
        <v>Pass</v>
      </c>
      <c r="E4" t="s">
        <v>0</v>
      </c>
    </row>
    <row r="5" spans="1:5" x14ac:dyDescent="0.3">
      <c r="A5" s="3" t="s">
        <v>6</v>
      </c>
      <c r="B5" s="3">
        <v>80</v>
      </c>
      <c r="C5" s="3" t="str">
        <f t="shared" si="0"/>
        <v>Pass</v>
      </c>
    </row>
    <row r="6" spans="1:5" x14ac:dyDescent="0.3">
      <c r="A6" s="3" t="s">
        <v>7</v>
      </c>
      <c r="B6" s="3">
        <v>30</v>
      </c>
      <c r="C6" s="3" t="str">
        <f t="shared" si="0"/>
        <v>Fail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1E5C1-A16D-41CC-838F-1D69F797853F}">
  <dimension ref="A1:D5"/>
  <sheetViews>
    <sheetView workbookViewId="0">
      <selection activeCell="E4" sqref="E4"/>
    </sheetView>
  </sheetViews>
  <sheetFormatPr defaultRowHeight="14.4" x14ac:dyDescent="0.3"/>
  <cols>
    <col min="1" max="1" width="9.21875" bestFit="1" customWidth="1"/>
    <col min="2" max="2" width="6" bestFit="1" customWidth="1"/>
    <col min="3" max="3" width="10.5546875" bestFit="1" customWidth="1"/>
    <col min="4" max="4" width="16.88671875" bestFit="1" customWidth="1"/>
    <col min="8" max="8" width="6" bestFit="1" customWidth="1"/>
    <col min="9" max="9" width="10.21875" bestFit="1" customWidth="1"/>
  </cols>
  <sheetData>
    <row r="1" spans="1:4" x14ac:dyDescent="0.3">
      <c r="A1" s="4" t="s">
        <v>8</v>
      </c>
      <c r="B1" s="4" t="s">
        <v>9</v>
      </c>
      <c r="C1" s="4" t="s">
        <v>10</v>
      </c>
      <c r="D1" s="5" t="s">
        <v>15</v>
      </c>
    </row>
    <row r="2" spans="1:4" x14ac:dyDescent="0.3">
      <c r="A2" s="3" t="s">
        <v>11</v>
      </c>
      <c r="B2" s="3">
        <v>55000</v>
      </c>
      <c r="C2" s="3">
        <v>95</v>
      </c>
      <c r="D2" s="3" t="str">
        <f>IF(AND($B2&gt;40000,$C2&gt;=90),"Eligible for Bonus","Ineligible for Bonus")</f>
        <v>Eligible for Bonus</v>
      </c>
    </row>
    <row r="3" spans="1:4" x14ac:dyDescent="0.3">
      <c r="A3" s="3" t="s">
        <v>12</v>
      </c>
      <c r="B3" s="3">
        <v>65000</v>
      </c>
      <c r="C3" s="3">
        <v>85</v>
      </c>
      <c r="D3" s="3" t="str">
        <f t="shared" ref="D3:D5" si="0">IF(AND($B3&gt;40000,$C3&gt;=90),"Eligible for Bonus","Ineligible for Bonus")</f>
        <v>Ineligible for Bonus</v>
      </c>
    </row>
    <row r="4" spans="1:4" x14ac:dyDescent="0.3">
      <c r="A4" s="3" t="s">
        <v>13</v>
      </c>
      <c r="B4" s="3">
        <v>30000</v>
      </c>
      <c r="C4" s="3">
        <v>90</v>
      </c>
      <c r="D4" s="3" t="str">
        <f t="shared" si="0"/>
        <v>Ineligible for Bonus</v>
      </c>
    </row>
    <row r="5" spans="1:4" x14ac:dyDescent="0.3">
      <c r="A5" s="3" t="s">
        <v>14</v>
      </c>
      <c r="B5" s="3">
        <v>25000</v>
      </c>
      <c r="C5" s="3">
        <v>65</v>
      </c>
      <c r="D5" s="3" t="str">
        <f t="shared" si="0"/>
        <v>Ineligible for Bonus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1D0A5-0889-4ECA-805F-B5A319A6C119}">
  <dimension ref="A1:C6"/>
  <sheetViews>
    <sheetView workbookViewId="0">
      <selection activeCell="C2" sqref="C2:C6"/>
    </sheetView>
  </sheetViews>
  <sheetFormatPr defaultRowHeight="14.4" x14ac:dyDescent="0.3"/>
  <cols>
    <col min="1" max="1" width="12.88671875" bestFit="1" customWidth="1"/>
  </cols>
  <sheetData>
    <row r="1" spans="1:3" x14ac:dyDescent="0.3">
      <c r="A1" s="11" t="s">
        <v>22</v>
      </c>
      <c r="B1" s="12" t="s">
        <v>2</v>
      </c>
      <c r="C1" s="1" t="s">
        <v>23</v>
      </c>
    </row>
    <row r="2" spans="1:3" x14ac:dyDescent="0.3">
      <c r="A2" s="6" t="s">
        <v>17</v>
      </c>
      <c r="B2" s="7">
        <v>85</v>
      </c>
      <c r="C2" t="str">
        <f>IF($B2&gt;=90,"A",IF($B2&gt;=75,"B",IF($B2&gt;=50,"C","FAIL")))</f>
        <v>B</v>
      </c>
    </row>
    <row r="3" spans="1:3" x14ac:dyDescent="0.3">
      <c r="A3" s="6" t="s">
        <v>18</v>
      </c>
      <c r="B3" s="7">
        <v>96</v>
      </c>
      <c r="C3" t="str">
        <f t="shared" ref="C3:C6" si="0">IF($B3&gt;=90,"A",IF($B3&gt;=75,"B",IF($B3&gt;=50,"C","FAIL")))</f>
        <v>A</v>
      </c>
    </row>
    <row r="4" spans="1:3" x14ac:dyDescent="0.3">
      <c r="A4" s="6" t="s">
        <v>19</v>
      </c>
      <c r="B4" s="7">
        <v>57</v>
      </c>
      <c r="C4" t="str">
        <f t="shared" si="0"/>
        <v>C</v>
      </c>
    </row>
    <row r="5" spans="1:3" x14ac:dyDescent="0.3">
      <c r="A5" s="6" t="s">
        <v>20</v>
      </c>
      <c r="B5" s="7">
        <v>92</v>
      </c>
      <c r="C5" t="str">
        <f t="shared" si="0"/>
        <v>A</v>
      </c>
    </row>
    <row r="6" spans="1:3" ht="15" thickBot="1" x14ac:dyDescent="0.35">
      <c r="A6" s="8" t="s">
        <v>21</v>
      </c>
      <c r="B6" s="9">
        <v>75</v>
      </c>
      <c r="C6" t="str">
        <f t="shared" si="0"/>
        <v>B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4BEA8-C879-4CCF-A601-BA7FB6B227A8}">
  <dimension ref="A1:R5"/>
  <sheetViews>
    <sheetView workbookViewId="0">
      <selection activeCell="E9" sqref="E9"/>
    </sheetView>
  </sheetViews>
  <sheetFormatPr defaultRowHeight="14.4" x14ac:dyDescent="0.3"/>
  <cols>
    <col min="3" max="3" width="10.5546875" bestFit="1" customWidth="1"/>
  </cols>
  <sheetData>
    <row r="1" spans="1:18" x14ac:dyDescent="0.3">
      <c r="A1" s="2" t="s">
        <v>24</v>
      </c>
      <c r="B1" s="2" t="s">
        <v>25</v>
      </c>
      <c r="C1" s="2" t="s">
        <v>32</v>
      </c>
    </row>
    <row r="2" spans="1:18" x14ac:dyDescent="0.3">
      <c r="A2" s="3" t="s">
        <v>26</v>
      </c>
      <c r="B2" s="3" t="s">
        <v>5</v>
      </c>
      <c r="C2" s="3" t="s">
        <v>33</v>
      </c>
    </row>
    <row r="3" spans="1:18" ht="15.6" x14ac:dyDescent="0.3">
      <c r="A3" s="3" t="s">
        <v>27</v>
      </c>
      <c r="B3" s="3" t="s">
        <v>3</v>
      </c>
      <c r="C3" s="3" t="s">
        <v>34</v>
      </c>
      <c r="E3" s="13" t="s">
        <v>36</v>
      </c>
      <c r="F3" s="17" t="str">
        <f>VLOOKUP("E103", $A2:$C5, 3, FALSE)</f>
        <v>Finance</v>
      </c>
    </row>
    <row r="4" spans="1:18" ht="15.6" x14ac:dyDescent="0.3">
      <c r="A4" s="3" t="s">
        <v>28</v>
      </c>
      <c r="B4" s="3" t="s">
        <v>29</v>
      </c>
      <c r="C4" s="3" t="s">
        <v>35</v>
      </c>
      <c r="E4" s="15" t="s">
        <v>37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6"/>
      <c r="R4" s="16"/>
    </row>
    <row r="5" spans="1:18" x14ac:dyDescent="0.3">
      <c r="A5" s="3" t="s">
        <v>30</v>
      </c>
      <c r="B5" s="3" t="s">
        <v>31</v>
      </c>
      <c r="C5" s="3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B62ED-50E9-4D3B-AB99-74CABAEB0E3B}">
  <dimension ref="A1:L5"/>
  <sheetViews>
    <sheetView workbookViewId="0">
      <selection activeCell="B1" sqref="B1"/>
    </sheetView>
  </sheetViews>
  <sheetFormatPr defaultRowHeight="14.4" x14ac:dyDescent="0.3"/>
  <cols>
    <col min="1" max="1" width="12.33203125" bestFit="1" customWidth="1"/>
    <col min="2" max="2" width="15.6640625" bestFit="1" customWidth="1"/>
    <col min="11" max="11" width="15.6640625" bestFit="1" customWidth="1"/>
    <col min="12" max="12" width="11.44140625" bestFit="1" customWidth="1"/>
  </cols>
  <sheetData>
    <row r="1" spans="1:12" x14ac:dyDescent="0.3">
      <c r="A1" s="10" t="s">
        <v>38</v>
      </c>
      <c r="B1" s="18" t="s">
        <v>39</v>
      </c>
    </row>
    <row r="2" spans="1:12" x14ac:dyDescent="0.3">
      <c r="A2" s="6">
        <v>0</v>
      </c>
      <c r="B2" s="19">
        <v>0.05</v>
      </c>
    </row>
    <row r="3" spans="1:12" x14ac:dyDescent="0.3">
      <c r="A3" s="6">
        <v>20000</v>
      </c>
      <c r="B3" s="19">
        <v>0.1</v>
      </c>
      <c r="G3" s="21" t="s">
        <v>40</v>
      </c>
      <c r="H3" s="21"/>
      <c r="I3" s="21"/>
      <c r="J3" s="21"/>
      <c r="K3" s="22" t="s">
        <v>39</v>
      </c>
      <c r="L3" s="23" t="s">
        <v>41</v>
      </c>
    </row>
    <row r="4" spans="1:12" x14ac:dyDescent="0.3">
      <c r="A4" s="6">
        <v>50000</v>
      </c>
      <c r="B4" s="19">
        <v>0.15</v>
      </c>
      <c r="G4" s="24" t="s">
        <v>42</v>
      </c>
      <c r="H4" s="24"/>
      <c r="I4" s="24"/>
      <c r="J4" s="24"/>
      <c r="K4" s="25">
        <f>VLOOKUP(45000,A1:B5,2,TRUE)</f>
        <v>0.1</v>
      </c>
      <c r="L4" s="24">
        <f>45000*K4</f>
        <v>4500</v>
      </c>
    </row>
    <row r="5" spans="1:12" ht="15" thickBot="1" x14ac:dyDescent="0.35">
      <c r="A5" s="8">
        <v>80000</v>
      </c>
      <c r="B5" s="20">
        <v>0.2</v>
      </c>
    </row>
  </sheetData>
  <mergeCells count="1">
    <mergeCell ref="G3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711F2-A197-47E0-ACC7-0B4D23E3FF17}">
  <dimension ref="A1:D4"/>
  <sheetViews>
    <sheetView workbookViewId="0">
      <selection activeCell="E5" sqref="E5"/>
    </sheetView>
  </sheetViews>
  <sheetFormatPr defaultRowHeight="14.4" x14ac:dyDescent="0.3"/>
  <cols>
    <col min="1" max="1" width="14.6640625" bestFit="1" customWidth="1"/>
    <col min="2" max="2" width="11" bestFit="1" customWidth="1"/>
    <col min="3" max="4" width="12.77734375" bestFit="1" customWidth="1"/>
  </cols>
  <sheetData>
    <row r="1" spans="1:4" x14ac:dyDescent="0.3">
      <c r="A1" s="26" t="s">
        <v>43</v>
      </c>
      <c r="B1" s="26" t="s">
        <v>44</v>
      </c>
      <c r="C1" s="26" t="s">
        <v>45</v>
      </c>
      <c r="D1" s="27" t="s">
        <v>49</v>
      </c>
    </row>
    <row r="2" spans="1:4" x14ac:dyDescent="0.3">
      <c r="A2" s="7" t="s">
        <v>46</v>
      </c>
      <c r="B2" s="7">
        <v>10</v>
      </c>
      <c r="C2" s="7">
        <v>12</v>
      </c>
      <c r="D2" s="3" t="str">
        <f>IF($B2&gt;$C2,"Exceeded","OK")</f>
        <v>OK</v>
      </c>
    </row>
    <row r="3" spans="1:4" x14ac:dyDescent="0.3">
      <c r="A3" s="7" t="s">
        <v>47</v>
      </c>
      <c r="B3" s="7">
        <v>10</v>
      </c>
      <c r="C3" s="7">
        <v>15</v>
      </c>
      <c r="D3" s="3" t="str">
        <f t="shared" ref="D3:D4" si="0">IF($B3&gt;$C3,"Exceeded","OK")</f>
        <v>OK</v>
      </c>
    </row>
    <row r="4" spans="1:4" x14ac:dyDescent="0.3">
      <c r="A4" s="7" t="s">
        <v>48</v>
      </c>
      <c r="B4" s="7">
        <v>8</v>
      </c>
      <c r="C4" s="7">
        <v>12</v>
      </c>
      <c r="D4" s="3" t="str">
        <f t="shared" si="0"/>
        <v>OK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B6F55-72CD-4408-888E-D747B7700F8A}">
  <dimension ref="A1:G5"/>
  <sheetViews>
    <sheetView workbookViewId="0">
      <selection activeCell="H6" sqref="H6"/>
    </sheetView>
  </sheetViews>
  <sheetFormatPr defaultRowHeight="14.4" x14ac:dyDescent="0.3"/>
  <cols>
    <col min="6" max="6" width="20.21875" bestFit="1" customWidth="1"/>
    <col min="7" max="7" width="6.21875" bestFit="1" customWidth="1"/>
    <col min="9" max="9" width="8.88671875" customWidth="1"/>
  </cols>
  <sheetData>
    <row r="1" spans="1:7" x14ac:dyDescent="0.3">
      <c r="A1" s="10" t="s">
        <v>24</v>
      </c>
      <c r="B1" s="18" t="s">
        <v>50</v>
      </c>
    </row>
    <row r="2" spans="1:7" x14ac:dyDescent="0.3">
      <c r="A2" s="6" t="s">
        <v>30</v>
      </c>
      <c r="B2" s="28">
        <v>55000</v>
      </c>
    </row>
    <row r="3" spans="1:7" ht="15" thickBot="1" x14ac:dyDescent="0.35">
      <c r="A3" s="6" t="s">
        <v>51</v>
      </c>
      <c r="B3" s="28">
        <v>72000</v>
      </c>
    </row>
    <row r="4" spans="1:7" x14ac:dyDescent="0.3">
      <c r="A4" s="6" t="s">
        <v>52</v>
      </c>
      <c r="B4" s="28">
        <v>62000</v>
      </c>
      <c r="F4" s="30" t="s">
        <v>53</v>
      </c>
      <c r="G4" s="31" t="s">
        <v>50</v>
      </c>
    </row>
    <row r="5" spans="1:7" ht="15" thickBot="1" x14ac:dyDescent="0.35">
      <c r="A5" s="8" t="s">
        <v>27</v>
      </c>
      <c r="B5" s="29">
        <v>41000</v>
      </c>
      <c r="F5" s="32" t="s">
        <v>54</v>
      </c>
      <c r="G5" s="14">
        <f>INDEX(B2:B5,MATCH("E105",A2:A5,0))</f>
        <v>72000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6C7BB-C382-43DB-8157-A5F493F964DA}">
  <dimension ref="A1:G5"/>
  <sheetViews>
    <sheetView tabSelected="1" workbookViewId="0">
      <selection activeCell="G9" sqref="G9"/>
    </sheetView>
  </sheetViews>
  <sheetFormatPr defaultRowHeight="14.4" x14ac:dyDescent="0.3"/>
  <cols>
    <col min="1" max="1" width="6.5546875" bestFit="1" customWidth="1"/>
    <col min="2" max="2" width="12.109375" bestFit="1" customWidth="1"/>
  </cols>
  <sheetData>
    <row r="1" spans="1:7" ht="15.6" x14ac:dyDescent="0.3">
      <c r="A1" s="33" t="s">
        <v>24</v>
      </c>
      <c r="B1" s="34" t="s">
        <v>32</v>
      </c>
    </row>
    <row r="2" spans="1:7" ht="15.6" x14ac:dyDescent="0.3">
      <c r="A2" s="35" t="s">
        <v>26</v>
      </c>
      <c r="B2" s="36" t="s">
        <v>34</v>
      </c>
    </row>
    <row r="3" spans="1:7" ht="15.6" x14ac:dyDescent="0.3">
      <c r="A3" s="35" t="s">
        <v>55</v>
      </c>
      <c r="B3" s="36" t="s">
        <v>33</v>
      </c>
    </row>
    <row r="4" spans="1:7" ht="15.6" x14ac:dyDescent="0.3">
      <c r="A4" s="35" t="s">
        <v>52</v>
      </c>
      <c r="B4" s="36" t="s">
        <v>9</v>
      </c>
      <c r="E4" s="39" t="s">
        <v>57</v>
      </c>
      <c r="F4" s="39"/>
      <c r="G4" s="40" t="str">
        <f>_xlfn.XLOOKUP("E303",A2:A5,B2:B5,"Not Available",0,1)</f>
        <v>IT</v>
      </c>
    </row>
    <row r="5" spans="1:7" ht="16.2" thickBot="1" x14ac:dyDescent="0.35">
      <c r="A5" s="37" t="s">
        <v>56</v>
      </c>
      <c r="B5" s="38" t="s">
        <v>35</v>
      </c>
    </row>
  </sheetData>
  <mergeCells count="1">
    <mergeCell ref="E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Sheet4</vt:lpstr>
      <vt:lpstr>Sheet5</vt:lpstr>
      <vt:lpstr>Sheet6</vt:lpstr>
      <vt:lpstr>Sheet7</vt:lpstr>
      <vt:lpstr>Sheet8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Anwar</dc:creator>
  <cp:lastModifiedBy>Anas Anwar</cp:lastModifiedBy>
  <dcterms:created xsi:type="dcterms:W3CDTF">2025-12-12T18:41:37Z</dcterms:created>
  <dcterms:modified xsi:type="dcterms:W3CDTF">2025-12-12T20:47:47Z</dcterms:modified>
</cp:coreProperties>
</file>